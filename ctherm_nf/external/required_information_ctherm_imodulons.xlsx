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d6150/Documents/Research/CBI/iModulon_Ctherm/iModulonMiner_eh_combined/ctherm_nf/external/"/>
    </mc:Choice>
  </mc:AlternateContent>
  <xr:revisionPtr revIDLastSave="0" documentId="13_ncr:1_{A727CBA6-F53C-D146-9E51-524B069F7557}" xr6:coauthVersionLast="47" xr6:coauthVersionMax="47" xr10:uidLastSave="{00000000-0000-0000-0000-000000000000}"/>
  <bookViews>
    <workbookView xWindow="0" yWindow="600" windowWidth="28800" windowHeight="15780" xr2:uid="{258E853F-2535-D84E-AE66-1B9DDCC6CEFC}"/>
  </bookViews>
  <sheets>
    <sheet name="Xu2016_S3" sheetId="13" r:id="rId1"/>
    <sheet name="cellulosomal_genes" sheetId="1" r:id="rId2"/>
    <sheet name="important_genes_GSM" sheetId="14" r:id="rId3"/>
    <sheet name="eh_chemostat_phenotype" sheetId="4" r:id="rId4"/>
    <sheet name="metadata_EH" sheetId="2" r:id="rId5"/>
    <sheet name="evo_ag553_ag601" sheetId="5" r:id="rId6"/>
    <sheet name="lacI" sheetId="6" r:id="rId7"/>
    <sheet name="xyl_evo" sheetId="7" r:id="rId8"/>
    <sheet name="pentose_sugar_1" sheetId="8" r:id="rId9"/>
    <sheet name="pentose_sugar_2" sheetId="9" r:id="rId10"/>
    <sheet name="sulfate" sheetId="10" r:id="rId11"/>
    <sheet name="ll1210" sheetId="11" r:id="rId12"/>
    <sheet name="cell_stressor" sheetId="12" r:id="rId13"/>
  </sheets>
  <definedNames>
    <definedName name="_xlnm._FilterDatabase" localSheetId="4" hidden="1">metadata_EH!$A$1:$F$107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" i="5" l="1"/>
  <c r="O13" i="5"/>
  <c r="O14" i="5"/>
  <c r="O15" i="5"/>
  <c r="O16" i="5"/>
  <c r="O17" i="5"/>
  <c r="O18" i="5"/>
  <c r="O19" i="5"/>
  <c r="O20" i="5"/>
  <c r="O11" i="5"/>
  <c r="R20" i="5"/>
  <c r="R19" i="5"/>
  <c r="Q20" i="5"/>
  <c r="Q19" i="5"/>
  <c r="K12" i="9"/>
  <c r="K13" i="9"/>
  <c r="K14" i="9"/>
  <c r="K15" i="9"/>
  <c r="K16" i="9"/>
  <c r="K11" i="9"/>
  <c r="M11" i="7"/>
  <c r="N11" i="7"/>
  <c r="N12" i="7"/>
  <c r="N13" i="7"/>
  <c r="N14" i="7"/>
  <c r="N15" i="7"/>
  <c r="N16" i="7"/>
  <c r="M12" i="7"/>
  <c r="M13" i="7"/>
  <c r="M14" i="7"/>
  <c r="M15" i="7"/>
  <c r="M16" i="7"/>
  <c r="L12" i="7"/>
  <c r="L13" i="7"/>
  <c r="L14" i="7"/>
  <c r="L15" i="7"/>
  <c r="L16" i="7"/>
  <c r="L11" i="7"/>
  <c r="N12" i="5"/>
  <c r="N13" i="5"/>
  <c r="N14" i="5"/>
  <c r="N15" i="5"/>
  <c r="N16" i="5"/>
  <c r="N17" i="5"/>
  <c r="N18" i="5"/>
  <c r="N19" i="5"/>
  <c r="N20" i="5"/>
  <c r="N11" i="5"/>
</calcChain>
</file>

<file path=xl/sharedStrings.xml><?xml version="1.0" encoding="utf-8"?>
<sst xmlns="http://schemas.openxmlformats.org/spreadsheetml/2006/main" count="1673" uniqueCount="581">
  <si>
    <t>Clo1313_2793</t>
  </si>
  <si>
    <t>Clo1313_2794</t>
  </si>
  <si>
    <t>Clo1313_2860</t>
  </si>
  <si>
    <t>Clo1313_2861</t>
  </si>
  <si>
    <t>Clo1313_0399</t>
  </si>
  <si>
    <t>Clo1313_1603</t>
  </si>
  <si>
    <t>Clo1313_2747</t>
  </si>
  <si>
    <t>Clo1313_2216</t>
  </si>
  <si>
    <t>Clo1313_1487</t>
  </si>
  <si>
    <t>Clo1313_2693</t>
  </si>
  <si>
    <t>Clo1313_1659</t>
  </si>
  <si>
    <t>Clo1313_1809</t>
  </si>
  <si>
    <t>Clo1313_2202</t>
  </si>
  <si>
    <t>Clo1313_0628</t>
  </si>
  <si>
    <t>Clo1313_1587</t>
  </si>
  <si>
    <t>Clo1313_0413</t>
  </si>
  <si>
    <t>Clo1313_1808</t>
  </si>
  <si>
    <t>Clo1313_1788</t>
  </si>
  <si>
    <t>Clo1313_0950</t>
  </si>
  <si>
    <t>Clo1313_2043</t>
  </si>
  <si>
    <t>Clo1313_1477</t>
  </si>
  <si>
    <t>Clo1313_2805</t>
  </si>
  <si>
    <t>Clo1313_1563</t>
  </si>
  <si>
    <t>Clo1313_0629</t>
  </si>
  <si>
    <t>Clo1313_2564</t>
  </si>
  <si>
    <t>Clo1313_3023</t>
  </si>
  <si>
    <t>Clo1313_1424</t>
  </si>
  <si>
    <t>Clo1313_1488</t>
  </si>
  <si>
    <t>Clo1313_0420</t>
  </si>
  <si>
    <t>Clo1313_0349</t>
  </si>
  <si>
    <t>Clo1313_1398</t>
  </si>
  <si>
    <t>Clo1313_0627</t>
  </si>
  <si>
    <t>Clo1313_0689</t>
  </si>
  <si>
    <t>Clo1313_0400</t>
  </si>
  <si>
    <t>Clo1313_1305</t>
  </si>
  <si>
    <t>Clo1313_0630</t>
  </si>
  <si>
    <t>Clo1313_1959</t>
  </si>
  <si>
    <t>Clo1313_1701</t>
  </si>
  <si>
    <t>Clo1313_0987</t>
  </si>
  <si>
    <t>Clo1313_1768</t>
  </si>
  <si>
    <t>Clo1313_1983</t>
  </si>
  <si>
    <t>Clo1313_1604</t>
  </si>
  <si>
    <t>Clo1313_0851</t>
  </si>
  <si>
    <t>Clo1313_1990</t>
  </si>
  <si>
    <t>Clo1313_2189</t>
  </si>
  <si>
    <t>Clo1313_0849</t>
  </si>
  <si>
    <t>Clo1313_1971</t>
  </si>
  <si>
    <t>Clo1313_1955</t>
  </si>
  <si>
    <t>Clo1313_2234</t>
  </si>
  <si>
    <t>Clo1313_0685</t>
  </si>
  <si>
    <t>Clo1313_1960</t>
  </si>
  <si>
    <t>Clo1313_2530</t>
  </si>
  <si>
    <t>Clo1313_0501</t>
  </si>
  <si>
    <t>Clo1313_0350</t>
  </si>
  <si>
    <t>Clo1313_2635</t>
  </si>
  <si>
    <t>Clo1313_2022</t>
  </si>
  <si>
    <t>Clo1313_1694</t>
  </si>
  <si>
    <t>Clo1313_2795</t>
  </si>
  <si>
    <t>Clo1313_2479</t>
  </si>
  <si>
    <t>Clo1313_1396</t>
  </si>
  <si>
    <t>Clo1313_2856</t>
  </si>
  <si>
    <t>Clo1313_2188</t>
  </si>
  <si>
    <t>Clo1313_1816</t>
  </si>
  <si>
    <t>Clo1313_0177</t>
  </si>
  <si>
    <t>Clo1313_1494</t>
  </si>
  <si>
    <t>Clo1313_1425</t>
  </si>
  <si>
    <t>Clo1313_0521</t>
  </si>
  <si>
    <t>Clo1313_0693</t>
  </si>
  <si>
    <t>Clo1313_1786</t>
  </si>
  <si>
    <t>Clo1313_0563</t>
  </si>
  <si>
    <t>Clo1313_2858</t>
  </si>
  <si>
    <t>Clo1313_1564</t>
  </si>
  <si>
    <t>Clo1313_2859</t>
  </si>
  <si>
    <t>gene_id</t>
  </si>
  <si>
    <t>condition</t>
  </si>
  <si>
    <t>project</t>
  </si>
  <si>
    <t>carbon_source</t>
  </si>
  <si>
    <t>experiment_id</t>
  </si>
  <si>
    <t>SRX3200204</t>
  </si>
  <si>
    <t>SRX3200205</t>
  </si>
  <si>
    <t>SRX3200207</t>
  </si>
  <si>
    <t>SRX3200209</t>
  </si>
  <si>
    <t>SRX5209262</t>
  </si>
  <si>
    <t>SRX5209263</t>
  </si>
  <si>
    <t>SRX5209264</t>
  </si>
  <si>
    <t>SRX5209265</t>
  </si>
  <si>
    <t>SRX5209269</t>
  </si>
  <si>
    <t>SRX5209273</t>
  </si>
  <si>
    <t>SRX5209275</t>
  </si>
  <si>
    <t>SRX5209278</t>
  </si>
  <si>
    <t>SRX5209279</t>
  </si>
  <si>
    <t>SRX5209280</t>
  </si>
  <si>
    <t>SRX7194992</t>
  </si>
  <si>
    <t>SRX7194995</t>
  </si>
  <si>
    <t>SRX7194997</t>
  </si>
  <si>
    <t>SRX7195282</t>
  </si>
  <si>
    <t>SRX7195337</t>
  </si>
  <si>
    <t>SRX7195340</t>
  </si>
  <si>
    <t>SRX7195341</t>
  </si>
  <si>
    <t>SRX7195343</t>
  </si>
  <si>
    <t>SRX7195344</t>
  </si>
  <si>
    <t>SRX7195345</t>
  </si>
  <si>
    <t>SRX7195346</t>
  </si>
  <si>
    <t>SRX7195347</t>
  </si>
  <si>
    <t>SRX7195407</t>
  </si>
  <si>
    <t>SRX7195408</t>
  </si>
  <si>
    <t>SRX7195410</t>
  </si>
  <si>
    <t>SRX7195413</t>
  </si>
  <si>
    <t>SRX7195417</t>
  </si>
  <si>
    <t>SRX7195418</t>
  </si>
  <si>
    <t>SRX7195420</t>
  </si>
  <si>
    <t>SRX7195423</t>
  </si>
  <si>
    <t>SRX7195424</t>
  </si>
  <si>
    <t>SRX7195430</t>
  </si>
  <si>
    <t>SRX7195431</t>
  </si>
  <si>
    <t>SRX7195432</t>
  </si>
  <si>
    <t>SRX7195433</t>
  </si>
  <si>
    <t>SRX7195434</t>
  </si>
  <si>
    <t>SRX7195435</t>
  </si>
  <si>
    <t>SRX7195436</t>
  </si>
  <si>
    <t>SRX7195437</t>
  </si>
  <si>
    <t>SRX7195438</t>
  </si>
  <si>
    <t>SRX7195439</t>
  </si>
  <si>
    <t>SRX7195444</t>
  </si>
  <si>
    <t>SRX7195447</t>
  </si>
  <si>
    <t>SRX7195448</t>
  </si>
  <si>
    <t>SRX7195449</t>
  </si>
  <si>
    <t>SRX7195454</t>
  </si>
  <si>
    <t>SRX7195455</t>
  </si>
  <si>
    <t>SRX7195456</t>
  </si>
  <si>
    <t>SRX7195458</t>
  </si>
  <si>
    <t>SRX3200203</t>
  </si>
  <si>
    <t>SRX3200206</t>
  </si>
  <si>
    <t>SRX3200208</t>
  </si>
  <si>
    <t>SRX5209268</t>
  </si>
  <si>
    <t>SRX5209270</t>
  </si>
  <si>
    <t>SRX5209271</t>
  </si>
  <si>
    <t>SRX5209272</t>
  </si>
  <si>
    <t>SRX5209274</t>
  </si>
  <si>
    <t>SRX5209276</t>
  </si>
  <si>
    <t>SRX5209277</t>
  </si>
  <si>
    <t>SRX5209281</t>
  </si>
  <si>
    <t>SRX5209298</t>
  </si>
  <si>
    <t>SRX5209299</t>
  </si>
  <si>
    <t>SRX5209300</t>
  </si>
  <si>
    <t>SRX5209301</t>
  </si>
  <si>
    <t>SRX7194993</t>
  </si>
  <si>
    <t>SRX7194994</t>
  </si>
  <si>
    <t>SRX7194999</t>
  </si>
  <si>
    <t>SRX7195000</t>
  </si>
  <si>
    <t>SRX7195280</t>
  </si>
  <si>
    <t>SRX7195281</t>
  </si>
  <si>
    <t>SRX7195283</t>
  </si>
  <si>
    <t>SRX7195338</t>
  </si>
  <si>
    <t>SRX7195339</t>
  </si>
  <si>
    <t>SRX7195342</t>
  </si>
  <si>
    <t>SRX7195348</t>
  </si>
  <si>
    <t>SRX7195349</t>
  </si>
  <si>
    <t>SRX7195350</t>
  </si>
  <si>
    <t>SRX7195351</t>
  </si>
  <si>
    <t>SRX7195406</t>
  </si>
  <si>
    <t>SRX7195409</t>
  </si>
  <si>
    <t>SRX7195411</t>
  </si>
  <si>
    <t>SRX7195414</t>
  </si>
  <si>
    <t>SRX7195415</t>
  </si>
  <si>
    <t>SRX7195416</t>
  </si>
  <si>
    <t>SRX7195421</t>
  </si>
  <si>
    <t>SRX7195422</t>
  </si>
  <si>
    <t>SRX7195425</t>
  </si>
  <si>
    <t>SRX7195426</t>
  </si>
  <si>
    <t>SRX7195427</t>
  </si>
  <si>
    <t>SRX7195428</t>
  </si>
  <si>
    <t>SRX7195429</t>
  </si>
  <si>
    <t>SRX7195440</t>
  </si>
  <si>
    <t>SRX7195442</t>
  </si>
  <si>
    <t>SRX7195443</t>
  </si>
  <si>
    <t>SRX7195445</t>
  </si>
  <si>
    <t>SRX7195450</t>
  </si>
  <si>
    <t>SRX7195451</t>
  </si>
  <si>
    <t>SRX7195452</t>
  </si>
  <si>
    <t>SRX7195453</t>
  </si>
  <si>
    <t>SRX7195457</t>
  </si>
  <si>
    <t>SRX7195460</t>
  </si>
  <si>
    <t>SRX7195461</t>
  </si>
  <si>
    <t>strain</t>
  </si>
  <si>
    <t>eh_chemostat_CI-II</t>
  </si>
  <si>
    <t>wt_clim</t>
  </si>
  <si>
    <t>del_hpt_del_spo0A_del_ldh_del_pta_ins_pgapD-cat-hpt_clim</t>
  </si>
  <si>
    <t>del_hpt_ldh_mut-S161R_del_adhE_ins_adhE_clim</t>
  </si>
  <si>
    <t>del_hpt_clim</t>
  </si>
  <si>
    <t>del_hpt_del_spo0A_del_ldh_clim</t>
  </si>
  <si>
    <t>evo_serial_del_hpt_del_ldh_del_pta_clim</t>
  </si>
  <si>
    <t>del_hpt_del_spo0A_del_pta_clim</t>
  </si>
  <si>
    <t>wt_nlim</t>
  </si>
  <si>
    <t>evo_chemostat_del_hpt_del_spo0A_del_ldh_del_pta_ins_pgapD-cat-hpt_clim</t>
  </si>
  <si>
    <t>eh_chemostat_CIII-IV</t>
  </si>
  <si>
    <t>del_hpt_del_ldh_del_pta_clim</t>
  </si>
  <si>
    <t>evo_ph_aux_del_hpt_del_ldh_del_pta_ins_pgapD-cat-hpt_clim</t>
  </si>
  <si>
    <t>del_hpt_del_spo0A_clim</t>
  </si>
  <si>
    <t>del_hpt_del_ldh_clim</t>
  </si>
  <si>
    <t>evo_ph_aux_del_hpt_del_spo0A_del_ldh_del_pta_ins_pgapD-cat-hpt_clim</t>
  </si>
  <si>
    <t>del_hpt_ldh_mut-S161R_del_adhE_ins_adhE_mut-D494G_clim</t>
  </si>
  <si>
    <t>del_hpt_del_pta_clim</t>
  </si>
  <si>
    <t>LL1004</t>
  </si>
  <si>
    <t>LL1044</t>
  </si>
  <si>
    <t>LL1160</t>
  </si>
  <si>
    <t>LL345</t>
  </si>
  <si>
    <t>LL372</t>
  </si>
  <si>
    <t>LL1011</t>
  </si>
  <si>
    <t>LL375</t>
  </si>
  <si>
    <t>LL373</t>
  </si>
  <si>
    <t>LL1042</t>
  </si>
  <si>
    <t>LL1043</t>
  </si>
  <si>
    <t>LL376</t>
  </si>
  <si>
    <t>LL1036</t>
  </si>
  <si>
    <t>LL374</t>
  </si>
  <si>
    <t>LL1161</t>
  </si>
  <si>
    <t>LL1041</t>
  </si>
  <si>
    <t>cellobiose</t>
  </si>
  <si>
    <t>comment</t>
  </si>
  <si>
    <t>carbon source added later based on the fact that they are present in the EH additional data for mapping</t>
  </si>
  <si>
    <t>educated guess based on all others</t>
  </si>
  <si>
    <t>Strain</t>
  </si>
  <si>
    <t>Genotype</t>
  </si>
  <si>
    <t>Replicates</t>
  </si>
  <si>
    <t>Pellet_C_gC_L</t>
  </si>
  <si>
    <t>Pellet_N_gN_L</t>
  </si>
  <si>
    <t>Acetate_g_L</t>
  </si>
  <si>
    <t>Ethanol_g_L</t>
  </si>
  <si>
    <t>Formate_g_L</t>
  </si>
  <si>
    <t>Lactate_g_L</t>
  </si>
  <si>
    <t>Pyruvate_g_L</t>
  </si>
  <si>
    <t>Total_AAs_g_L</t>
  </si>
  <si>
    <t>H2_rel</t>
  </si>
  <si>
    <t>Cellobiose_feed_g_L</t>
  </si>
  <si>
    <t>Dilution_rate_h-1</t>
  </si>
  <si>
    <t>wild-type</t>
  </si>
  <si>
    <t>Δhpt</t>
  </si>
  <si>
    <t>Δhpt Δpta</t>
  </si>
  <si>
    <t>Δhpt Δldh</t>
  </si>
  <si>
    <t>Δhpt Δldh Δpta</t>
  </si>
  <si>
    <t>Δhpt Δldh Δpta adapted</t>
  </si>
  <si>
    <t>Δhpt Δldh Δpta::PgapD-cat-hpt adapted</t>
  </si>
  <si>
    <t>Δhpt Δspo0A</t>
  </si>
  <si>
    <t>Δhpt Δspo0A Δpta</t>
  </si>
  <si>
    <t>Δhpt Δspo0A Δldh</t>
  </si>
  <si>
    <t>Δhpt Δspo0A Δldh Δpta::PgapD-cat-hpt</t>
  </si>
  <si>
    <t>S1</t>
  </si>
  <si>
    <t>S2</t>
  </si>
  <si>
    <t>Alanine</t>
  </si>
  <si>
    <t>Arginine</t>
  </si>
  <si>
    <t>Asparagine</t>
  </si>
  <si>
    <t>Aspartic_acid</t>
  </si>
  <si>
    <t>Glutamic_acid</t>
  </si>
  <si>
    <t>Glutamine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</si>
  <si>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</si>
  <si>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</si>
  <si>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</si>
  <si>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</si>
  <si>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</si>
  <si>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</si>
  <si>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</si>
  <si>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</si>
  <si>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</si>
  <si>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</si>
  <si>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</si>
  <si>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</si>
  <si>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Δhpt Δspo0A Δldh Δpta::PgapD-cat-hpt adapted</t>
  </si>
  <si>
    <t>Δhpt ΔadhE::adhE</t>
  </si>
  <si>
    <t>Δhpt ΔadhE::adhED494G</t>
  </si>
  <si>
    <t>NOTES</t>
  </si>
  <si>
    <t>Only averages taken</t>
  </si>
  <si>
    <t>SRX1599894</t>
  </si>
  <si>
    <t>SRX1599895</t>
  </si>
  <si>
    <t>SRX1599896</t>
  </si>
  <si>
    <t>SRX1599897</t>
  </si>
  <si>
    <t>SRX1599898</t>
  </si>
  <si>
    <t>SRX1599899</t>
  </si>
  <si>
    <t>SRX1599901</t>
  </si>
  <si>
    <t>SRX1599903</t>
  </si>
  <si>
    <t>SRX1599904</t>
  </si>
  <si>
    <t>SRX1599907</t>
  </si>
  <si>
    <t>AG601</t>
  </si>
  <si>
    <t>AG553</t>
  </si>
  <si>
    <t>delta hpt</t>
  </si>
  <si>
    <t>evo_ag553_ag601</t>
  </si>
  <si>
    <t>evo_del_hpt_del_ldh_del_pta-ack_del_pfl_del_hydG_for2</t>
  </si>
  <si>
    <t>evo_del_hpt_del_ldh_del_pta-ack_del_pfl_del_hydG_for0</t>
  </si>
  <si>
    <t>del_hpt_del_ldh_del_pta-ack_del_pfl_del_hydG_for2</t>
  </si>
  <si>
    <t>del_hpt_for0</t>
  </si>
  <si>
    <t>treatment</t>
  </si>
  <si>
    <t>2 mM Formate</t>
  </si>
  <si>
    <t>No formate</t>
  </si>
  <si>
    <t>acetate_mM</t>
  </si>
  <si>
    <t>ethanol_mM</t>
  </si>
  <si>
    <t>lactate_mM</t>
  </si>
  <si>
    <t>formate_mM</t>
  </si>
  <si>
    <t>aa_secreted_mM</t>
  </si>
  <si>
    <t>GR</t>
  </si>
  <si>
    <t>DOI: 10.1007/s10295-018-2073-x</t>
  </si>
  <si>
    <t>Table 1</t>
  </si>
  <si>
    <t>extracted using Perplexity AI's general model from Holwerda2020, S1 PDF</t>
  </si>
  <si>
    <t>DOI: 10.1128/AEM.02751-16</t>
  </si>
  <si>
    <t>NA</t>
  </si>
  <si>
    <t>DOI: 10.1038/srep43355</t>
  </si>
  <si>
    <t>Note:</t>
  </si>
  <si>
    <t>Carbon Source is cellobiose for this. I am using 5g/L cellobiose as the amount used.</t>
  </si>
  <si>
    <t>SRX1427049</t>
  </si>
  <si>
    <t>M1570</t>
  </si>
  <si>
    <t>xyl_evo</t>
  </si>
  <si>
    <t>evo_del_hpt_del_ldh_del_pta_xyl0</t>
  </si>
  <si>
    <t>0 g/L xylose</t>
  </si>
  <si>
    <t>mid-log</t>
  </si>
  <si>
    <t>batch</t>
  </si>
  <si>
    <t>SRX1427050</t>
  </si>
  <si>
    <t>SRX1427051</t>
  </si>
  <si>
    <t>SRX1427052</t>
  </si>
  <si>
    <t>evo_del_hpt_del_ldh_del_pta_xyl15</t>
  </si>
  <si>
    <t>15 g/L xylose</t>
  </si>
  <si>
    <t>SRX1427053</t>
  </si>
  <si>
    <t>SRX1427055</t>
  </si>
  <si>
    <t>cellobiose 5g/L</t>
  </si>
  <si>
    <t>ethanol_mmol_per_mmol_hexose</t>
  </si>
  <si>
    <t>acetate_mmol_per_mmol_hexose</t>
  </si>
  <si>
    <t>formate_mmol_per_mmol_hexose</t>
  </si>
  <si>
    <t>lactate_mmol_per_mmol_hexose</t>
  </si>
  <si>
    <t>S1 + S2</t>
  </si>
  <si>
    <t>SRX25920392</t>
  </si>
  <si>
    <t>KJC335</t>
  </si>
  <si>
    <t>pentose_sugar_1</t>
  </si>
  <si>
    <t>del_hpt_ins_xylAB_xyl</t>
  </si>
  <si>
    <t>del_hpt_ins_xylAB_cb</t>
  </si>
  <si>
    <t>DSM1313 delta-hpt::xylAB</t>
  </si>
  <si>
    <t>CTFUD</t>
  </si>
  <si>
    <t>xylose</t>
  </si>
  <si>
    <t>highlighted in blue obtained from literature: 10.1038/s41598-020-71428-6</t>
  </si>
  <si>
    <t>pentose_sugar_1:del_hpt_ins_xylAB_xyl</t>
  </si>
  <si>
    <t>SRX25920393</t>
  </si>
  <si>
    <t>SRX25920394</t>
  </si>
  <si>
    <t>SRX25920395</t>
  </si>
  <si>
    <t>pentose_sugar_1:del_hpt_ins_xylAB_cb</t>
  </si>
  <si>
    <t>SRX25920396</t>
  </si>
  <si>
    <t>SRX25920397</t>
  </si>
  <si>
    <t>SRX25920398</t>
  </si>
  <si>
    <t>KJC19-9</t>
  </si>
  <si>
    <t>evo_xyl_del_hpt_ins_xylAB_xyl</t>
  </si>
  <si>
    <t>DSM1313 evolved (xylose) delta-hpt::xylAB</t>
  </si>
  <si>
    <t>pentose_sugar_1:evo_xyl_del_hpt_ins_xylAB_xyl</t>
  </si>
  <si>
    <t>SRX25920399</t>
  </si>
  <si>
    <t>SRX25920400</t>
  </si>
  <si>
    <t>SRX25920401</t>
  </si>
  <si>
    <t>KJCXn4</t>
  </si>
  <si>
    <t>evo_xyl_xyla_del_hpt_ins_xylAB_xyl</t>
  </si>
  <si>
    <t>DSM1313 evolved (xylose+xylan) delta-hpt::xylAB</t>
  </si>
  <si>
    <t>pentose_sugar_1:evo_xyl_xyla_del_hpt_ins_xylAB_xyl</t>
  </si>
  <si>
    <t>SRX25920402</t>
  </si>
  <si>
    <t>SRX25920403</t>
  </si>
  <si>
    <t>SRX25920404</t>
  </si>
  <si>
    <t>evo_xyl_xyla_del_hpt_ins_xylAB_xyl_xyla</t>
  </si>
  <si>
    <t>xylose plus xylan</t>
  </si>
  <si>
    <t>pentose_sugar_1:evo_xyl_xyla_del_hpt_ins_xylAB_xyl_xyla</t>
  </si>
  <si>
    <t>SRX25920405</t>
  </si>
  <si>
    <t>SRX25920406</t>
  </si>
  <si>
    <t>Converted Figure 5 using https://apps.automeris.io/wpd4/</t>
  </si>
  <si>
    <t>DOI: 10.1038/s41598-020-71428-6</t>
  </si>
  <si>
    <t>pentose_sugar_2</t>
  </si>
  <si>
    <t>SRX6853642</t>
  </si>
  <si>
    <t>SRX6853643</t>
  </si>
  <si>
    <t>SRX6853644</t>
  </si>
  <si>
    <t>SRX6853645</t>
  </si>
  <si>
    <t>SRX6853646</t>
  </si>
  <si>
    <t>SRX6853647</t>
  </si>
  <si>
    <t>note</t>
  </si>
  <si>
    <t>based on discussion in the paper</t>
  </si>
  <si>
    <t>DOI: 10.1186/s13068-018-1095-y</t>
  </si>
  <si>
    <t>SRX3042243</t>
  </si>
  <si>
    <t>ll1210</t>
  </si>
  <si>
    <t>del_hpt_del_hydG_del_ldh_del_pfl_del_pta-ack_ph623</t>
  </si>
  <si>
    <t>del_hpt_del_hydG_del_ldh_del_pfl_del_pta-ack_ph698</t>
  </si>
  <si>
    <t>DSM1313 delta-hpt; delta-hydG; delta-ldh; delta-pfl; delta-pta-ack</t>
  </si>
  <si>
    <t>3g/L cellobiose</t>
  </si>
  <si>
    <t>SRX3042244</t>
  </si>
  <si>
    <t>SRX3042245</t>
  </si>
  <si>
    <t>SRX3042246</t>
  </si>
  <si>
    <t>SRX3042247</t>
  </si>
  <si>
    <t>SRX3042248</t>
  </si>
  <si>
    <t>SRX3042249</t>
  </si>
  <si>
    <t>del_hpt_del_hydG_del_ldh_del_pfl_del_pta-ack_ph648</t>
  </si>
  <si>
    <t>SRX3042250</t>
  </si>
  <si>
    <t>SRX3042251</t>
  </si>
  <si>
    <t>del_hpt_del_hydG_del_ldh_del_pfl_del_pta-ack_ph612</t>
  </si>
  <si>
    <t>SRX3042252</t>
  </si>
  <si>
    <t>SRX3042253</t>
  </si>
  <si>
    <t>SRX3042254</t>
  </si>
  <si>
    <t>SRX5085503</t>
  </si>
  <si>
    <t>DSM 1313</t>
  </si>
  <si>
    <t>cell_stressor</t>
  </si>
  <si>
    <t>SRX5085504</t>
  </si>
  <si>
    <t>SRX5085505</t>
  </si>
  <si>
    <t>SRX5085506</t>
  </si>
  <si>
    <t>SRX5085507</t>
  </si>
  <si>
    <t>SRX5085508</t>
  </si>
  <si>
    <t>SRX5085509</t>
  </si>
  <si>
    <t>cellulose</t>
  </si>
  <si>
    <t>SRX5085511</t>
  </si>
  <si>
    <t>SRX5085512</t>
  </si>
  <si>
    <t>SRX5085513</t>
  </si>
  <si>
    <t>SRX5085514</t>
  </si>
  <si>
    <t>SRX5085517</t>
  </si>
  <si>
    <t>SRX5085518</t>
  </si>
  <si>
    <t>SRX5085519</t>
  </si>
  <si>
    <t>SRX5085520</t>
  </si>
  <si>
    <t>SRX5085521</t>
  </si>
  <si>
    <t>SRX5085522</t>
  </si>
  <si>
    <t>SRX5085523</t>
  </si>
  <si>
    <t>SRX5085524</t>
  </si>
  <si>
    <t>SRX5085525</t>
  </si>
  <si>
    <t>SRX5085526</t>
  </si>
  <si>
    <t>SRX5085527</t>
  </si>
  <si>
    <t>SRX5085528</t>
  </si>
  <si>
    <t>SRX5085529</t>
  </si>
  <si>
    <t>SRX5085530</t>
  </si>
  <si>
    <t>SRX5085531</t>
  </si>
  <si>
    <t>ethanol_mmol_per_mmol_cellobiose</t>
  </si>
  <si>
    <t>Cellobiose_g_L</t>
  </si>
  <si>
    <t>added_formate_mM</t>
  </si>
  <si>
    <t>Locus Tag</t>
  </si>
  <si>
    <t>Protein name</t>
  </si>
  <si>
    <t>Protein Function</t>
  </si>
  <si>
    <t>DS3 rank abundance</t>
  </si>
  <si>
    <r>
      <t>(Δ</t>
    </r>
    <r>
      <rPr>
        <i/>
        <sz val="6"/>
        <color rgb="FF000000"/>
        <rFont val="Calibri"/>
        <family val="2"/>
      </rPr>
      <t>hpt</t>
    </r>
    <r>
      <rPr>
        <sz val="6"/>
        <color rgb="FF000000"/>
        <rFont val="Calibri"/>
        <family val="2"/>
      </rPr>
      <t>)</t>
    </r>
  </si>
  <si>
    <t>DS11 rank abundance</t>
  </si>
  <si>
    <r>
      <t>(Δ</t>
    </r>
    <r>
      <rPr>
        <i/>
        <sz val="6"/>
        <color rgb="FF000000"/>
        <rFont val="Calibri"/>
        <family val="2"/>
      </rPr>
      <t>hpt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cipA</t>
    </r>
    <r>
      <rPr>
        <sz val="6"/>
        <color rgb="FF000000"/>
        <rFont val="Calibri"/>
        <family val="2"/>
      </rPr>
      <t>)</t>
    </r>
  </si>
  <si>
    <r>
      <t>CTN4 rank abundance</t>
    </r>
    <r>
      <rPr>
        <sz val="8"/>
        <color rgb="FF000000"/>
        <rFont val="Calibri"/>
        <family val="2"/>
      </rPr>
      <t xml:space="preserve"> </t>
    </r>
    <r>
      <rPr>
        <sz val="6"/>
        <color rgb="FF000000"/>
        <rFont val="Calibri"/>
        <family val="2"/>
      </rPr>
      <t>(Δ</t>
    </r>
    <r>
      <rPr>
        <i/>
        <sz val="6"/>
        <color rgb="FF000000"/>
        <rFont val="Calibri"/>
        <family val="2"/>
      </rPr>
      <t>hpt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cipA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olpB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orf2A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olpA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sdbA</t>
    </r>
    <r>
      <rPr>
        <sz val="6"/>
        <color rgb="FF000000"/>
        <rFont val="Calibri"/>
        <family val="2"/>
      </rPr>
      <t>)</t>
    </r>
  </si>
  <si>
    <r>
      <t>CTN5 rank abundance</t>
    </r>
    <r>
      <rPr>
        <sz val="8"/>
        <color rgb="FF000000"/>
        <rFont val="Calibri"/>
        <family val="2"/>
      </rPr>
      <t xml:space="preserve"> </t>
    </r>
    <r>
      <rPr>
        <sz val="6"/>
        <color rgb="FF000000"/>
        <rFont val="Calibri"/>
        <family val="2"/>
      </rPr>
      <t>(Δ</t>
    </r>
    <r>
      <rPr>
        <i/>
        <sz val="6"/>
        <color rgb="FF000000"/>
        <rFont val="Calibri"/>
        <family val="2"/>
      </rPr>
      <t>hpt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olpB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orf2A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olpA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sdbA</t>
    </r>
    <r>
      <rPr>
        <sz val="6"/>
        <color rgb="FF000000"/>
        <rFont val="Calibri"/>
        <family val="2"/>
      </rPr>
      <t>)</t>
    </r>
  </si>
  <si>
    <r>
      <t>CTN7 rank abundance</t>
    </r>
    <r>
      <rPr>
        <sz val="8"/>
        <color rgb="FF000000"/>
        <rFont val="Calibri"/>
        <family val="2"/>
      </rPr>
      <t xml:space="preserve"> </t>
    </r>
    <r>
      <rPr>
        <sz val="6"/>
        <color rgb="FF000000"/>
        <rFont val="Calibri"/>
        <family val="2"/>
      </rPr>
      <t>(Δ</t>
    </r>
    <r>
      <rPr>
        <i/>
        <sz val="6"/>
        <color rgb="FF000000"/>
        <rFont val="Calibri"/>
        <family val="2"/>
      </rPr>
      <t>hpt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cipA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olpB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orf2A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olpA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sdbA</t>
    </r>
    <r>
      <rPr>
        <sz val="6"/>
        <color rgb="FF000000"/>
        <rFont val="Calibri"/>
        <family val="2"/>
      </rPr>
      <t>, Δ</t>
    </r>
    <r>
      <rPr>
        <i/>
        <sz val="6"/>
        <color rgb="FF000000"/>
        <rFont val="Calibri"/>
        <family val="2"/>
      </rPr>
      <t>olpC</t>
    </r>
    <r>
      <rPr>
        <sz val="6"/>
        <color rgb="FF000000"/>
        <rFont val="Calibri"/>
        <family val="2"/>
      </rPr>
      <t>)</t>
    </r>
  </si>
  <si>
    <t xml:space="preserve">Non-catalytic cellulosomal proteins </t>
  </si>
  <si>
    <t>CipA</t>
  </si>
  <si>
    <t xml:space="preserve">Cellulosome anchoring protein cohesin region   </t>
  </si>
  <si>
    <t>del.</t>
  </si>
  <si>
    <t>OlpB</t>
  </si>
  <si>
    <t>Orf2p</t>
  </si>
  <si>
    <t>OlpA</t>
  </si>
  <si>
    <t>SdbA</t>
  </si>
  <si>
    <t>ScaE</t>
  </si>
  <si>
    <t>OlpC</t>
  </si>
  <si>
    <t xml:space="preserve">Cellulosomal cellulase genes </t>
  </si>
  <si>
    <t>Clo1313_0135</t>
  </si>
  <si>
    <t xml:space="preserve">Dockerin type 1     </t>
  </si>
  <si>
    <t>XynD</t>
  </si>
  <si>
    <t xml:space="preserve">Glycoside hydrolase family 10    </t>
  </si>
  <si>
    <t>CelV</t>
  </si>
  <si>
    <t xml:space="preserve">Glycoside hydrolase family 9    </t>
  </si>
  <si>
    <t>LecA</t>
  </si>
  <si>
    <t>ManA</t>
  </si>
  <si>
    <t>CelT</t>
  </si>
  <si>
    <t>CelG</t>
  </si>
  <si>
    <t xml:space="preserve">Glycoside hydrolase family 5    </t>
  </si>
  <si>
    <t>Clo1313_0500</t>
  </si>
  <si>
    <t xml:space="preserve">Pectinesterase       </t>
  </si>
  <si>
    <t xml:space="preserve">Pectate lyase/Amb allergen     </t>
  </si>
  <si>
    <t>XynA</t>
  </si>
  <si>
    <t xml:space="preserve">Glycoside hydrolase family 11    </t>
  </si>
  <si>
    <t xml:space="preserve">Carbohydrate binding family 6    </t>
  </si>
  <si>
    <t xml:space="preserve">Peptidase S8 and S53 subtilisin kexin sedolisin </t>
  </si>
  <si>
    <t xml:space="preserve">glycosyl hydrolase 53 domain protein   </t>
  </si>
  <si>
    <t>Xgh74A</t>
  </si>
  <si>
    <t>Clo1313_0985</t>
  </si>
  <si>
    <t xml:space="preserve">Alpha-L-arabinofuranosidase B      </t>
  </si>
  <si>
    <t>XynY</t>
  </si>
  <si>
    <t>CelD</t>
  </si>
  <si>
    <t xml:space="preserve">Coagulation factor 41767 type domain protein  </t>
  </si>
  <si>
    <t xml:space="preserve">Lipolytic protein G-D-S-L family    </t>
  </si>
  <si>
    <t>CelE</t>
  </si>
  <si>
    <t>CelW</t>
  </si>
  <si>
    <t xml:space="preserve">Ricin B lectin     </t>
  </si>
  <si>
    <t xml:space="preserve">Glycoside hydrolase family 81    </t>
  </si>
  <si>
    <t>CelQ</t>
  </si>
  <si>
    <t>CelJ</t>
  </si>
  <si>
    <t>CelR</t>
  </si>
  <si>
    <t>CelF</t>
  </si>
  <si>
    <t>CelB</t>
  </si>
  <si>
    <t>CbhA</t>
  </si>
  <si>
    <t>CelK</t>
  </si>
  <si>
    <t>CelL</t>
  </si>
  <si>
    <t>CelP</t>
  </si>
  <si>
    <t>ChiA</t>
  </si>
  <si>
    <t xml:space="preserve">Glycoside hydrolase family 18    </t>
  </si>
  <si>
    <t>CelA</t>
  </si>
  <si>
    <t xml:space="preserve">Glycoside hydrolase family 8    </t>
  </si>
  <si>
    <t xml:space="preserve">Spore coat protein CotH    </t>
  </si>
  <si>
    <t>LicB</t>
  </si>
  <si>
    <t xml:space="preserve">Glycoside hydrolase family 16    </t>
  </si>
  <si>
    <t>Clo1313_2042</t>
  </si>
  <si>
    <t xml:space="preserve">Proteinase inhibitor I4 serpin    </t>
  </si>
  <si>
    <t>CseP</t>
  </si>
  <si>
    <t>CelN</t>
  </si>
  <si>
    <t>CelH</t>
  </si>
  <si>
    <t xml:space="preserve">Ig domain protein group 2 domain protein </t>
  </si>
  <si>
    <t>XynC</t>
  </si>
  <si>
    <t>XynZ</t>
  </si>
  <si>
    <t>CelS</t>
  </si>
  <si>
    <t xml:space="preserve">Glycoside hydrolase family 48    </t>
  </si>
  <si>
    <t xml:space="preserve">Glycoside hydrolase family 43    </t>
  </si>
  <si>
    <t>CelO</t>
  </si>
  <si>
    <t>Clo1313_2843</t>
  </si>
  <si>
    <t>CtXyl5A</t>
  </si>
  <si>
    <t xml:space="preserve">Glycoside hydrolase family 2 sugar binding protein </t>
  </si>
  <si>
    <t>Clo1313_2944</t>
  </si>
  <si>
    <t>CelU</t>
  </si>
  <si>
    <t xml:space="preserve">Free enzyme system </t>
  </si>
  <si>
    <t>Clo1313_0133</t>
  </si>
  <si>
    <t xml:space="preserve">Alpha-L-arabinofuranosidase domain protein     </t>
  </si>
  <si>
    <t>Clo1313_0333</t>
  </si>
  <si>
    <t xml:space="preserve">Lytic transglycosylase catalytic     </t>
  </si>
  <si>
    <t>Clo1313_0395</t>
  </si>
  <si>
    <t>CelC</t>
  </si>
  <si>
    <t>Clo1313_0397</t>
  </si>
  <si>
    <t>LicA</t>
  </si>
  <si>
    <t xml:space="preserve">Glucan endo-1,3-beta-D-glucosidase      </t>
  </si>
  <si>
    <t>Clo1313_0436</t>
  </si>
  <si>
    <t>Clo1313_0539</t>
  </si>
  <si>
    <t xml:space="preserve">Glycosyltransferase 36      </t>
  </si>
  <si>
    <t>Clo1313_0613</t>
  </si>
  <si>
    <t xml:space="preserve">Cephalosporin-C deacetylase      </t>
  </si>
  <si>
    <t>Clo1313_0714</t>
  </si>
  <si>
    <t xml:space="preserve">Carbohydrate binding family 25    </t>
  </si>
  <si>
    <t>Clo1313_0820</t>
  </si>
  <si>
    <t xml:space="preserve">Beta-glucosidase       </t>
  </si>
  <si>
    <t>Clo1313_1002</t>
  </si>
  <si>
    <t>bglB</t>
  </si>
  <si>
    <t xml:space="preserve">Glycoside hydrolase family 3 domain protein  </t>
  </si>
  <si>
    <t>Clo1313_1336</t>
  </si>
  <si>
    <t>Clo1313_1426</t>
  </si>
  <si>
    <t xml:space="preserve">Alpha amylase catalytic region    </t>
  </si>
  <si>
    <t>Clo1313_1904</t>
  </si>
  <si>
    <t>Clo1313_1954</t>
  </si>
  <si>
    <t>Clo1313_1958</t>
  </si>
  <si>
    <t xml:space="preserve">Type 3a cellulose-binding domain protein   </t>
  </si>
  <si>
    <t>Clo1313_2020</t>
  </si>
  <si>
    <t>bglA</t>
  </si>
  <si>
    <t xml:space="preserve">Beta-galactosidase       </t>
  </si>
  <si>
    <t>Clo1313_2161</t>
  </si>
  <si>
    <t>CelY</t>
  </si>
  <si>
    <t xml:space="preserve">Cellulose 1,4-beta-cellobiosidase      </t>
  </si>
  <si>
    <t>Clo1313_2192</t>
  </si>
  <si>
    <t>CelI</t>
  </si>
  <si>
    <t>Clo1313_2233</t>
  </si>
  <si>
    <t>Clo1313_2382</t>
  </si>
  <si>
    <t xml:space="preserve">Hypothetical protein      </t>
  </si>
  <si>
    <t>Clo1313_2450</t>
  </si>
  <si>
    <t xml:space="preserve">Amidohydrolase       </t>
  </si>
  <si>
    <t>Clo1313_2460</t>
  </si>
  <si>
    <t xml:space="preserve">Glycoside hydrolase 15-related protein    </t>
  </si>
  <si>
    <t>Clo1313_2473</t>
  </si>
  <si>
    <t xml:space="preserve">Peptidoglycan-binding lysin domain     </t>
  </si>
  <si>
    <t>Clo1313_2584</t>
  </si>
  <si>
    <t>Clo1313_2777</t>
  </si>
  <si>
    <t>Clo1313_2853</t>
  </si>
  <si>
    <t xml:space="preserve">N-acetylglucosamine-6-phosphate deacetylase      </t>
  </si>
  <si>
    <t>Clo1313_2854</t>
  </si>
  <si>
    <t xml:space="preserve">1,4-alpha-glucan branching enzyme     </t>
  </si>
  <si>
    <t>10.1126/sciadv.1501254</t>
  </si>
  <si>
    <t>DOI</t>
  </si>
  <si>
    <t>Dramatic performance of Clostridium thermocellum explained by its wide range of cellulase modalities</t>
  </si>
  <si>
    <t>Title</t>
  </si>
  <si>
    <t>Extracted from</t>
  </si>
  <si>
    <t>Xu2016</t>
  </si>
  <si>
    <t>Clo1313_1848</t>
  </si>
  <si>
    <t>Clo1313_1849</t>
  </si>
  <si>
    <t>NfnA</t>
  </si>
  <si>
    <t>NfnB</t>
  </si>
  <si>
    <t>rxns_in_gsm</t>
  </si>
  <si>
    <t>FNOR, FDH, FRNDPR2r</t>
  </si>
  <si>
    <t>Clo1313_1571</t>
  </si>
  <si>
    <t>hydG</t>
  </si>
  <si>
    <t>H2ASE_syn, H2ASE_syn2, R10246</t>
  </si>
  <si>
    <t>gene_name</t>
  </si>
  <si>
    <t>locus_tags</t>
  </si>
  <si>
    <t>Table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</si>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</sst>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sz val="8"/>
      <color rgb="FF000000"/>
      <name val="Calibri"/>
      <family val="2"/>
    </font>
    <font>
      <sz val="6"/>
      <color rgb="FF000000"/>
      <name val="Calibri"/>
      <family val="2"/>
    </font>
    <font>
      <i/>
      <sz val="6"/>
      <color rgb="FF000000"/>
      <name val="Calibri"/>
      <family val="2"/>
    </font>
    <font>
      <sz val="8"/>
      <color rgb="FF000000"/>
      <name val="Calibri"/>
      <family val="2"/>
    </font>
    <font>
      <i/>
      <sz val="8"/>
      <color rgb="FF000000"/>
      <name val="Calibri"/>
      <family val="2"/>
    </font>
    <font>
      <sz val="7"/>
      <color rgb="FF000000"/>
      <name val="Calibri"/>
      <family val="2"/>
    </font>
    <font>
      <b/>
      <sz val="7"/>
      <color rgb="FF000000"/>
      <name val="Calibri"/>
      <family val="2"/>
    </font>
    <font>
      <sz val="7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22" fontId="0" fillId="0" borderId="0" xfId="0" applyNumberFormat="1"/>
    <xf numFmtId="11" fontId="0" fillId="0" borderId="0" xfId="0" applyNumberFormat="1"/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4" fillId="0" borderId="0" xfId="1"/>
    <xf numFmtId="0" fontId="1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26/sciadv.1501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EB4B-70ED-8F4A-A9D6-527147827D7F}">
  <dimension ref="A2:M120"/>
  <sheetViews>
    <sheetView tabSelected="1" workbookViewId="0">
      <selection activeCell="A5" sqref="A5"/>
    </sheetView>
  </sheetViews>
  <sheetFormatPr baseColWidth="10" defaultRowHeight="16" x14ac:dyDescent="0.2"/>
  <sheetData>
    <row r="2" spans="1:13" x14ac:dyDescent="0.2">
      <c r="A2" t="s">
        <v>563</v>
      </c>
      <c r="B2" s="19" t="s">
        <v>562</v>
      </c>
    </row>
    <row r="3" spans="1:13" x14ac:dyDescent="0.2">
      <c r="A3" t="s">
        <v>565</v>
      </c>
      <c r="B3" t="s">
        <v>564</v>
      </c>
    </row>
    <row r="4" spans="1:13" x14ac:dyDescent="0.2">
      <c r="A4" t="s">
        <v>579</v>
      </c>
      <c r="B4" t="s">
        <v>580</v>
      </c>
    </row>
    <row r="6" spans="1:13" x14ac:dyDescent="0.2">
      <c r="M6" s="19"/>
    </row>
    <row r="9" spans="1:13" ht="17" thickBot="1" x14ac:dyDescent="0.25"/>
    <row r="10" spans="1:13" ht="24" x14ac:dyDescent="0.2">
      <c r="A10" s="22" t="s">
        <v>426</v>
      </c>
      <c r="B10" s="22" t="s">
        <v>427</v>
      </c>
      <c r="C10" s="24" t="s">
        <v>428</v>
      </c>
      <c r="D10" s="6" t="s">
        <v>429</v>
      </c>
      <c r="E10" s="6" t="s">
        <v>431</v>
      </c>
      <c r="F10" s="24" t="s">
        <v>433</v>
      </c>
      <c r="G10" s="24" t="s">
        <v>434</v>
      </c>
      <c r="H10" s="24" t="s">
        <v>435</v>
      </c>
    </row>
    <row r="11" spans="1:13" ht="17" thickBot="1" x14ac:dyDescent="0.25">
      <c r="A11" s="23"/>
      <c r="B11" s="23"/>
      <c r="C11" s="25"/>
      <c r="D11" s="7" t="s">
        <v>430</v>
      </c>
      <c r="E11" s="7" t="s">
        <v>432</v>
      </c>
      <c r="F11" s="25"/>
      <c r="G11" s="25"/>
      <c r="H11" s="25"/>
    </row>
    <row r="12" spans="1:13" x14ac:dyDescent="0.2">
      <c r="A12" s="20" t="s">
        <v>436</v>
      </c>
      <c r="B12" s="20"/>
      <c r="C12" s="20"/>
      <c r="D12" s="20"/>
      <c r="E12" s="20"/>
      <c r="F12" s="20"/>
      <c r="G12" s="21"/>
      <c r="H12" s="21"/>
    </row>
    <row r="13" spans="1:13" x14ac:dyDescent="0.2">
      <c r="A13" s="9" t="s">
        <v>31</v>
      </c>
      <c r="B13" s="9" t="s">
        <v>437</v>
      </c>
      <c r="C13" s="9" t="s">
        <v>438</v>
      </c>
      <c r="D13" s="10">
        <v>94.9</v>
      </c>
      <c r="E13" s="10" t="s">
        <v>439</v>
      </c>
      <c r="F13" s="10" t="s">
        <v>439</v>
      </c>
      <c r="G13" s="10">
        <v>100</v>
      </c>
      <c r="H13" s="10" t="s">
        <v>439</v>
      </c>
    </row>
    <row r="14" spans="1:13" x14ac:dyDescent="0.2">
      <c r="A14" s="9" t="s">
        <v>13</v>
      </c>
      <c r="B14" s="9" t="s">
        <v>440</v>
      </c>
      <c r="C14" s="9" t="s">
        <v>438</v>
      </c>
      <c r="D14" s="10">
        <v>65.3</v>
      </c>
      <c r="E14" s="11">
        <v>92.4</v>
      </c>
      <c r="F14" s="10" t="s">
        <v>439</v>
      </c>
      <c r="G14" s="10" t="s">
        <v>439</v>
      </c>
      <c r="H14" s="10" t="s">
        <v>439</v>
      </c>
    </row>
    <row r="15" spans="1:13" x14ac:dyDescent="0.2">
      <c r="A15" s="9" t="s">
        <v>23</v>
      </c>
      <c r="B15" s="9" t="s">
        <v>441</v>
      </c>
      <c r="C15" s="9" t="s">
        <v>438</v>
      </c>
      <c r="D15" s="10">
        <v>91.6</v>
      </c>
      <c r="E15" s="10">
        <v>98.5</v>
      </c>
      <c r="F15" s="10" t="s">
        <v>439</v>
      </c>
      <c r="G15" s="10" t="s">
        <v>439</v>
      </c>
      <c r="H15" s="10" t="s">
        <v>439</v>
      </c>
    </row>
    <row r="16" spans="1:13" x14ac:dyDescent="0.2">
      <c r="A16" s="9" t="s">
        <v>35</v>
      </c>
      <c r="B16" s="12" t="s">
        <v>442</v>
      </c>
      <c r="C16" s="9" t="s">
        <v>438</v>
      </c>
      <c r="D16" s="10">
        <v>83.1</v>
      </c>
      <c r="E16" s="10">
        <v>95.9</v>
      </c>
      <c r="F16" s="10" t="s">
        <v>439</v>
      </c>
      <c r="G16" s="10" t="s">
        <v>439</v>
      </c>
      <c r="H16" s="10" t="s">
        <v>439</v>
      </c>
    </row>
    <row r="17" spans="1:8" x14ac:dyDescent="0.2">
      <c r="A17" s="9" t="s">
        <v>18</v>
      </c>
      <c r="B17" s="9" t="s">
        <v>443</v>
      </c>
      <c r="C17" s="9" t="s">
        <v>438</v>
      </c>
      <c r="D17" s="10">
        <v>66.099999999999994</v>
      </c>
      <c r="E17" s="10">
        <v>60.5</v>
      </c>
      <c r="F17" s="10" t="s">
        <v>439</v>
      </c>
      <c r="G17" s="10" t="s">
        <v>439</v>
      </c>
      <c r="H17" s="10" t="s">
        <v>439</v>
      </c>
    </row>
    <row r="18" spans="1:8" x14ac:dyDescent="0.2">
      <c r="A18" s="9" t="s">
        <v>8</v>
      </c>
      <c r="B18" s="12" t="s">
        <v>444</v>
      </c>
      <c r="C18" s="9" t="s">
        <v>438</v>
      </c>
      <c r="D18" s="10">
        <v>72</v>
      </c>
      <c r="E18" s="10">
        <v>64.8</v>
      </c>
      <c r="F18" s="10">
        <v>76.400000000000006</v>
      </c>
      <c r="G18" s="11">
        <v>98.2</v>
      </c>
      <c r="H18" s="10">
        <v>82.9</v>
      </c>
    </row>
    <row r="19" spans="1:8" x14ac:dyDescent="0.2">
      <c r="A19" s="9" t="s">
        <v>27</v>
      </c>
      <c r="B19" s="13"/>
      <c r="C19" s="9" t="s">
        <v>438</v>
      </c>
      <c r="D19" s="10">
        <v>51.7</v>
      </c>
      <c r="E19" s="10">
        <v>45.8</v>
      </c>
      <c r="F19" s="10">
        <v>57.8</v>
      </c>
      <c r="G19" s="10">
        <v>75.8</v>
      </c>
      <c r="H19" s="10">
        <v>61.5</v>
      </c>
    </row>
    <row r="20" spans="1:8" ht="17" thickBot="1" x14ac:dyDescent="0.25">
      <c r="A20" s="14" t="s">
        <v>39</v>
      </c>
      <c r="B20" s="14" t="s">
        <v>445</v>
      </c>
      <c r="C20" s="14" t="s">
        <v>438</v>
      </c>
      <c r="D20" s="15">
        <v>94.4</v>
      </c>
      <c r="E20" s="16">
        <v>70.900000000000006</v>
      </c>
      <c r="F20" s="15">
        <v>72.3</v>
      </c>
      <c r="G20" s="15">
        <v>97.5</v>
      </c>
      <c r="H20" s="15" t="s">
        <v>439</v>
      </c>
    </row>
    <row r="21" spans="1:8" x14ac:dyDescent="0.2">
      <c r="A21" s="18" t="s">
        <v>446</v>
      </c>
      <c r="B21" s="18"/>
      <c r="C21" s="18"/>
      <c r="D21" s="18"/>
      <c r="E21" s="18"/>
      <c r="F21" s="18"/>
      <c r="G21" s="18"/>
      <c r="H21" s="8"/>
    </row>
    <row r="22" spans="1:8" x14ac:dyDescent="0.2">
      <c r="A22" s="9" t="s">
        <v>447</v>
      </c>
      <c r="B22" s="13"/>
      <c r="C22" s="9" t="s">
        <v>448</v>
      </c>
      <c r="D22" s="10">
        <v>14.7</v>
      </c>
      <c r="E22" s="10">
        <v>11.6</v>
      </c>
      <c r="F22" s="10">
        <v>14.2</v>
      </c>
      <c r="G22" s="10">
        <v>19.8</v>
      </c>
      <c r="H22" s="10">
        <v>10.7</v>
      </c>
    </row>
    <row r="23" spans="1:8" x14ac:dyDescent="0.2">
      <c r="A23" s="9" t="s">
        <v>63</v>
      </c>
      <c r="B23" s="9" t="s">
        <v>449</v>
      </c>
      <c r="C23" s="9" t="s">
        <v>450</v>
      </c>
      <c r="D23" s="10">
        <v>28.5</v>
      </c>
      <c r="E23" s="11">
        <v>89.4</v>
      </c>
      <c r="F23" s="11">
        <v>93.4</v>
      </c>
      <c r="G23" s="10">
        <v>41.9</v>
      </c>
      <c r="H23" s="11">
        <v>96.3</v>
      </c>
    </row>
    <row r="24" spans="1:8" x14ac:dyDescent="0.2">
      <c r="A24" s="9" t="s">
        <v>29</v>
      </c>
      <c r="B24" s="9" t="s">
        <v>451</v>
      </c>
      <c r="C24" s="9" t="s">
        <v>452</v>
      </c>
      <c r="D24" s="10">
        <v>38.299999999999997</v>
      </c>
      <c r="E24" s="11">
        <v>85</v>
      </c>
      <c r="F24" s="11">
        <v>88.4</v>
      </c>
      <c r="G24" s="10">
        <v>55.6</v>
      </c>
      <c r="H24" s="11">
        <v>89.6</v>
      </c>
    </row>
    <row r="25" spans="1:8" x14ac:dyDescent="0.2">
      <c r="A25" s="9" t="s">
        <v>53</v>
      </c>
      <c r="B25" s="9" t="s">
        <v>453</v>
      </c>
      <c r="C25" s="9" t="s">
        <v>452</v>
      </c>
      <c r="D25" s="10">
        <v>32.9</v>
      </c>
      <c r="E25" s="11">
        <v>77.599999999999994</v>
      </c>
      <c r="F25" s="11">
        <v>79.099999999999994</v>
      </c>
      <c r="G25" s="10">
        <v>35</v>
      </c>
      <c r="H25" s="11">
        <v>83.5</v>
      </c>
    </row>
    <row r="26" spans="1:8" x14ac:dyDescent="0.2">
      <c r="A26" s="9" t="s">
        <v>4</v>
      </c>
      <c r="B26" s="9" t="s">
        <v>454</v>
      </c>
      <c r="C26" s="9" t="s">
        <v>448</v>
      </c>
      <c r="D26" s="10">
        <v>70</v>
      </c>
      <c r="E26" s="10">
        <v>87</v>
      </c>
      <c r="F26" s="10">
        <v>85.3</v>
      </c>
      <c r="G26" s="11">
        <v>98</v>
      </c>
      <c r="H26" s="10">
        <v>94.5</v>
      </c>
    </row>
    <row r="27" spans="1:8" x14ac:dyDescent="0.2">
      <c r="A27" s="9" t="s">
        <v>33</v>
      </c>
      <c r="B27" s="9" t="s">
        <v>455</v>
      </c>
      <c r="C27" s="9" t="s">
        <v>452</v>
      </c>
      <c r="D27" s="10">
        <v>87.2</v>
      </c>
      <c r="E27" s="10">
        <v>94.2</v>
      </c>
      <c r="F27" s="10">
        <v>97</v>
      </c>
      <c r="G27" s="10">
        <v>97</v>
      </c>
      <c r="H27" s="10">
        <v>98.7</v>
      </c>
    </row>
    <row r="28" spans="1:8" x14ac:dyDescent="0.2">
      <c r="A28" s="9" t="s">
        <v>15</v>
      </c>
      <c r="B28" s="9" t="s">
        <v>456</v>
      </c>
      <c r="C28" s="9" t="s">
        <v>457</v>
      </c>
      <c r="D28" s="10">
        <v>92</v>
      </c>
      <c r="E28" s="10">
        <v>96.7</v>
      </c>
      <c r="F28" s="10">
        <v>97.4</v>
      </c>
      <c r="G28" s="10">
        <v>99</v>
      </c>
      <c r="H28" s="10">
        <v>98.5</v>
      </c>
    </row>
    <row r="29" spans="1:8" x14ac:dyDescent="0.2">
      <c r="A29" s="9" t="s">
        <v>28</v>
      </c>
      <c r="B29" s="13"/>
      <c r="C29" s="9" t="s">
        <v>448</v>
      </c>
      <c r="D29" s="10">
        <v>21.4</v>
      </c>
      <c r="E29" s="10">
        <v>30.7</v>
      </c>
      <c r="F29" s="10">
        <v>29.7</v>
      </c>
      <c r="G29" s="10">
        <v>14</v>
      </c>
      <c r="H29" s="11">
        <v>34</v>
      </c>
    </row>
    <row r="30" spans="1:8" x14ac:dyDescent="0.2">
      <c r="A30" s="9" t="s">
        <v>458</v>
      </c>
      <c r="B30" s="13"/>
      <c r="C30" s="9" t="s">
        <v>459</v>
      </c>
      <c r="D30" s="10">
        <v>4.7</v>
      </c>
      <c r="E30" s="11">
        <v>20.9</v>
      </c>
      <c r="F30" s="11">
        <v>23.9</v>
      </c>
      <c r="G30" s="10">
        <v>10.1</v>
      </c>
      <c r="H30" s="11">
        <v>21.5</v>
      </c>
    </row>
    <row r="31" spans="1:8" x14ac:dyDescent="0.2">
      <c r="A31" s="9" t="s">
        <v>52</v>
      </c>
      <c r="B31" s="13"/>
      <c r="C31" s="9" t="s">
        <v>460</v>
      </c>
      <c r="D31" s="10">
        <v>14.8</v>
      </c>
      <c r="E31" s="11">
        <v>43.4</v>
      </c>
      <c r="F31" s="11">
        <v>49.9</v>
      </c>
      <c r="G31" s="11">
        <v>46.2</v>
      </c>
      <c r="H31" s="11">
        <v>52.9</v>
      </c>
    </row>
    <row r="32" spans="1:8" x14ac:dyDescent="0.2">
      <c r="A32" s="9" t="s">
        <v>66</v>
      </c>
      <c r="B32" s="9" t="s">
        <v>461</v>
      </c>
      <c r="C32" s="9" t="s">
        <v>462</v>
      </c>
      <c r="D32" s="10">
        <v>61.5</v>
      </c>
      <c r="E32" s="11">
        <v>93.8</v>
      </c>
      <c r="F32" s="11">
        <v>98</v>
      </c>
      <c r="G32" s="11">
        <v>89.9</v>
      </c>
      <c r="H32" s="11">
        <v>98.4</v>
      </c>
    </row>
    <row r="33" spans="1:8" x14ac:dyDescent="0.2">
      <c r="A33" s="9" t="s">
        <v>69</v>
      </c>
      <c r="B33" s="13"/>
      <c r="C33" s="9" t="s">
        <v>463</v>
      </c>
      <c r="D33" s="10">
        <v>40.799999999999997</v>
      </c>
      <c r="E33" s="10">
        <v>54.9</v>
      </c>
      <c r="F33" s="11">
        <v>65</v>
      </c>
      <c r="G33" s="11">
        <v>93</v>
      </c>
      <c r="H33" s="11">
        <v>68.099999999999994</v>
      </c>
    </row>
    <row r="34" spans="1:8" x14ac:dyDescent="0.2">
      <c r="A34" s="9" t="s">
        <v>49</v>
      </c>
      <c r="B34" s="13"/>
      <c r="C34" s="9" t="s">
        <v>448</v>
      </c>
      <c r="D34" s="10">
        <v>29.9</v>
      </c>
      <c r="E34" s="10">
        <v>26.3</v>
      </c>
      <c r="F34" s="10">
        <v>27.5</v>
      </c>
      <c r="G34" s="11">
        <v>54.4</v>
      </c>
      <c r="H34" s="10">
        <v>35.6</v>
      </c>
    </row>
    <row r="35" spans="1:8" x14ac:dyDescent="0.2">
      <c r="A35" s="9" t="s">
        <v>32</v>
      </c>
      <c r="B35" s="13"/>
      <c r="C35" s="9" t="s">
        <v>464</v>
      </c>
      <c r="D35" s="10">
        <v>65.8</v>
      </c>
      <c r="E35" s="10">
        <v>50.3</v>
      </c>
      <c r="F35" s="10">
        <v>52.3</v>
      </c>
      <c r="G35" s="11">
        <v>24.3</v>
      </c>
      <c r="H35" s="10">
        <v>60.7</v>
      </c>
    </row>
    <row r="36" spans="1:8" x14ac:dyDescent="0.2">
      <c r="A36" s="9" t="s">
        <v>67</v>
      </c>
      <c r="B36" s="13"/>
      <c r="C36" s="9" t="s">
        <v>463</v>
      </c>
      <c r="D36" s="10">
        <v>16.100000000000001</v>
      </c>
      <c r="E36" s="11">
        <v>56.8</v>
      </c>
      <c r="F36" s="11">
        <v>69.099999999999994</v>
      </c>
      <c r="G36" s="10">
        <v>19</v>
      </c>
      <c r="H36" s="11">
        <v>77.400000000000006</v>
      </c>
    </row>
    <row r="37" spans="1:8" x14ac:dyDescent="0.2">
      <c r="A37" s="9" t="s">
        <v>45</v>
      </c>
      <c r="B37" s="13"/>
      <c r="C37" s="9" t="s">
        <v>465</v>
      </c>
      <c r="D37" s="10">
        <v>38.299999999999997</v>
      </c>
      <c r="E37" s="10">
        <v>46.5</v>
      </c>
      <c r="F37" s="10">
        <v>54.1</v>
      </c>
      <c r="G37" s="11">
        <v>81.900000000000006</v>
      </c>
      <c r="H37" s="10">
        <v>59.6</v>
      </c>
    </row>
    <row r="38" spans="1:8" x14ac:dyDescent="0.2">
      <c r="A38" s="9" t="s">
        <v>42</v>
      </c>
      <c r="B38" s="9" t="s">
        <v>466</v>
      </c>
      <c r="C38" s="9" t="s">
        <v>448</v>
      </c>
      <c r="D38" s="10">
        <v>67.3</v>
      </c>
      <c r="E38" s="10">
        <v>80.8</v>
      </c>
      <c r="F38" s="10">
        <v>88.4</v>
      </c>
      <c r="G38" s="11">
        <v>98.3</v>
      </c>
      <c r="H38" s="10">
        <v>91.7</v>
      </c>
    </row>
    <row r="39" spans="1:8" x14ac:dyDescent="0.2">
      <c r="A39" s="9" t="s">
        <v>467</v>
      </c>
      <c r="B39" s="13"/>
      <c r="C39" s="9" t="s">
        <v>468</v>
      </c>
      <c r="D39" s="10">
        <v>47.4</v>
      </c>
      <c r="E39" s="10">
        <v>72.400000000000006</v>
      </c>
      <c r="F39" s="11">
        <v>84.1</v>
      </c>
      <c r="G39" s="10">
        <v>58.5</v>
      </c>
      <c r="H39" s="11">
        <v>92.5</v>
      </c>
    </row>
    <row r="40" spans="1:8" x14ac:dyDescent="0.2">
      <c r="A40" s="9" t="s">
        <v>38</v>
      </c>
      <c r="B40" s="13"/>
      <c r="C40" s="9" t="s">
        <v>463</v>
      </c>
      <c r="D40" s="10">
        <v>38.1</v>
      </c>
      <c r="E40" s="10">
        <v>32.5</v>
      </c>
      <c r="F40" s="10">
        <v>36.6</v>
      </c>
      <c r="G40" s="10">
        <v>47.6</v>
      </c>
      <c r="H40" s="10">
        <v>40.5</v>
      </c>
    </row>
    <row r="41" spans="1:8" x14ac:dyDescent="0.2">
      <c r="A41" s="9" t="s">
        <v>34</v>
      </c>
      <c r="B41" s="9" t="s">
        <v>469</v>
      </c>
      <c r="C41" s="9" t="s">
        <v>450</v>
      </c>
      <c r="D41" s="10">
        <v>85.6</v>
      </c>
      <c r="E41" s="10">
        <v>91.4</v>
      </c>
      <c r="F41" s="10">
        <v>91</v>
      </c>
      <c r="G41" s="10">
        <v>91.4</v>
      </c>
      <c r="H41" s="10">
        <v>96.8</v>
      </c>
    </row>
    <row r="42" spans="1:8" x14ac:dyDescent="0.2">
      <c r="A42" s="9" t="s">
        <v>59</v>
      </c>
      <c r="B42" s="9" t="s">
        <v>470</v>
      </c>
      <c r="C42" s="9" t="s">
        <v>452</v>
      </c>
      <c r="D42" s="10">
        <v>71.900000000000006</v>
      </c>
      <c r="E42" s="10">
        <v>70.8</v>
      </c>
      <c r="F42" s="10">
        <v>60.8</v>
      </c>
      <c r="G42" s="10">
        <v>72.099999999999994</v>
      </c>
      <c r="H42" s="10">
        <v>54.7</v>
      </c>
    </row>
    <row r="43" spans="1:8" x14ac:dyDescent="0.2">
      <c r="A43" s="9" t="s">
        <v>30</v>
      </c>
      <c r="B43" s="9" t="s">
        <v>454</v>
      </c>
      <c r="C43" s="9" t="s">
        <v>471</v>
      </c>
      <c r="D43" s="10">
        <v>72.2</v>
      </c>
      <c r="E43" s="10">
        <v>90.1</v>
      </c>
      <c r="F43" s="10">
        <v>80.599999999999994</v>
      </c>
      <c r="G43" s="10">
        <v>89.5</v>
      </c>
      <c r="H43" s="10">
        <v>88.9</v>
      </c>
    </row>
    <row r="44" spans="1:8" x14ac:dyDescent="0.2">
      <c r="A44" s="9" t="s">
        <v>26</v>
      </c>
      <c r="B44" s="13"/>
      <c r="C44" s="9" t="s">
        <v>472</v>
      </c>
      <c r="D44" s="10">
        <v>28.6</v>
      </c>
      <c r="E44" s="11">
        <v>83.8</v>
      </c>
      <c r="F44" s="11">
        <v>67.900000000000006</v>
      </c>
      <c r="G44" s="10">
        <v>39.4</v>
      </c>
      <c r="H44" s="11">
        <v>76.7</v>
      </c>
    </row>
    <row r="45" spans="1:8" x14ac:dyDescent="0.2">
      <c r="A45" s="9" t="s">
        <v>65</v>
      </c>
      <c r="B45" s="9" t="s">
        <v>473</v>
      </c>
      <c r="C45" s="9" t="s">
        <v>457</v>
      </c>
      <c r="D45" s="10">
        <v>29.5</v>
      </c>
      <c r="E45" s="11">
        <v>52.4</v>
      </c>
      <c r="F45" s="11">
        <v>64.7</v>
      </c>
      <c r="G45" s="10">
        <v>31.5</v>
      </c>
      <c r="H45" s="11">
        <v>67.599999999999994</v>
      </c>
    </row>
    <row r="46" spans="1:8" x14ac:dyDescent="0.2">
      <c r="A46" s="9" t="s">
        <v>20</v>
      </c>
      <c r="B46" s="9" t="s">
        <v>474</v>
      </c>
      <c r="C46" s="9" t="s">
        <v>452</v>
      </c>
      <c r="D46" s="10">
        <v>39.6</v>
      </c>
      <c r="E46" s="11">
        <v>92.3</v>
      </c>
      <c r="F46" s="11">
        <v>93</v>
      </c>
      <c r="G46" s="11">
        <v>84.5</v>
      </c>
      <c r="H46" s="11">
        <v>96</v>
      </c>
    </row>
    <row r="47" spans="1:8" x14ac:dyDescent="0.2">
      <c r="A47" s="9" t="s">
        <v>64</v>
      </c>
      <c r="B47" s="13"/>
      <c r="C47" s="9" t="s">
        <v>448</v>
      </c>
      <c r="D47" s="10">
        <v>17.7</v>
      </c>
      <c r="E47" s="11">
        <v>35.799999999999997</v>
      </c>
      <c r="F47" s="11">
        <v>47.9</v>
      </c>
      <c r="G47" s="10">
        <v>17</v>
      </c>
      <c r="H47" s="11">
        <v>69.599999999999994</v>
      </c>
    </row>
    <row r="48" spans="1:8" x14ac:dyDescent="0.2">
      <c r="A48" s="9" t="s">
        <v>22</v>
      </c>
      <c r="B48" s="13"/>
      <c r="C48" s="9" t="s">
        <v>475</v>
      </c>
      <c r="D48" s="10">
        <v>62.7</v>
      </c>
      <c r="E48" s="10">
        <v>81.3</v>
      </c>
      <c r="F48" s="10">
        <v>79.599999999999994</v>
      </c>
      <c r="G48" s="11">
        <v>86.7</v>
      </c>
      <c r="H48" s="10">
        <v>86.6</v>
      </c>
    </row>
    <row r="49" spans="1:8" x14ac:dyDescent="0.2">
      <c r="A49" s="9" t="s">
        <v>71</v>
      </c>
      <c r="B49" s="13"/>
      <c r="C49" s="9" t="s">
        <v>476</v>
      </c>
      <c r="D49" s="10">
        <v>27</v>
      </c>
      <c r="E49" s="11">
        <v>49.1</v>
      </c>
      <c r="F49" s="11">
        <v>47.7</v>
      </c>
      <c r="G49" s="11">
        <v>57.2</v>
      </c>
      <c r="H49" s="11">
        <v>56.5</v>
      </c>
    </row>
    <row r="50" spans="1:8" x14ac:dyDescent="0.2">
      <c r="A50" s="9" t="s">
        <v>14</v>
      </c>
      <c r="B50" s="13"/>
      <c r="C50" s="9" t="s">
        <v>448</v>
      </c>
      <c r="D50" s="10">
        <v>48</v>
      </c>
      <c r="E50" s="10">
        <v>45.2</v>
      </c>
      <c r="F50" s="10">
        <v>49.7</v>
      </c>
      <c r="G50" s="11">
        <v>83.6</v>
      </c>
      <c r="H50" s="10">
        <v>55.7</v>
      </c>
    </row>
    <row r="51" spans="1:8" x14ac:dyDescent="0.2">
      <c r="A51" s="9" t="s">
        <v>5</v>
      </c>
      <c r="B51" s="9" t="s">
        <v>477</v>
      </c>
      <c r="C51" s="9" t="s">
        <v>452</v>
      </c>
      <c r="D51" s="10">
        <v>91.9</v>
      </c>
      <c r="E51" s="10">
        <v>98.2</v>
      </c>
      <c r="F51" s="10">
        <v>99.7</v>
      </c>
      <c r="G51" s="10">
        <v>98.4</v>
      </c>
      <c r="H51" s="10">
        <v>99.8</v>
      </c>
    </row>
    <row r="52" spans="1:8" x14ac:dyDescent="0.2">
      <c r="A52" s="9" t="s">
        <v>41</v>
      </c>
      <c r="B52" s="12" t="s">
        <v>478</v>
      </c>
      <c r="C52" s="9" t="s">
        <v>452</v>
      </c>
      <c r="D52" s="10">
        <v>66.900000000000006</v>
      </c>
      <c r="E52" s="11">
        <v>99.1</v>
      </c>
      <c r="F52" s="11">
        <v>98.8</v>
      </c>
      <c r="G52" s="11">
        <v>93.2</v>
      </c>
      <c r="H52" s="11">
        <v>99.7</v>
      </c>
    </row>
    <row r="53" spans="1:8" x14ac:dyDescent="0.2">
      <c r="A53" s="9" t="s">
        <v>10</v>
      </c>
      <c r="B53" s="9" t="s">
        <v>479</v>
      </c>
      <c r="C53" s="9" t="s">
        <v>452</v>
      </c>
      <c r="D53" s="10">
        <v>89.3</v>
      </c>
      <c r="E53" s="10">
        <v>99</v>
      </c>
      <c r="F53" s="10">
        <v>99.5</v>
      </c>
      <c r="G53" s="10">
        <v>94.9</v>
      </c>
      <c r="H53" s="10">
        <v>99.6</v>
      </c>
    </row>
    <row r="54" spans="1:8" x14ac:dyDescent="0.2">
      <c r="A54" s="9" t="s">
        <v>56</v>
      </c>
      <c r="B54" s="9" t="s">
        <v>480</v>
      </c>
      <c r="C54" s="9" t="s">
        <v>452</v>
      </c>
      <c r="D54" s="10">
        <v>82.1</v>
      </c>
      <c r="E54" s="10">
        <v>96.4</v>
      </c>
      <c r="F54" s="10">
        <v>97.9</v>
      </c>
      <c r="G54" s="10">
        <v>97.8</v>
      </c>
      <c r="H54" s="10">
        <v>99.2</v>
      </c>
    </row>
    <row r="55" spans="1:8" x14ac:dyDescent="0.2">
      <c r="A55" s="9" t="s">
        <v>37</v>
      </c>
      <c r="B55" s="9" t="s">
        <v>481</v>
      </c>
      <c r="C55" s="9" t="s">
        <v>457</v>
      </c>
      <c r="D55" s="10">
        <v>91.4</v>
      </c>
      <c r="E55" s="10">
        <v>92.1</v>
      </c>
      <c r="F55" s="10">
        <v>93.7</v>
      </c>
      <c r="G55" s="10">
        <v>98</v>
      </c>
      <c r="H55" s="10">
        <v>97.2</v>
      </c>
    </row>
    <row r="56" spans="1:8" x14ac:dyDescent="0.2">
      <c r="A56" s="9" t="s">
        <v>68</v>
      </c>
      <c r="B56" s="13"/>
      <c r="C56" s="9" t="s">
        <v>448</v>
      </c>
      <c r="D56" s="10">
        <v>37.5</v>
      </c>
      <c r="E56" s="10">
        <v>58.5</v>
      </c>
      <c r="F56" s="10">
        <v>57.7</v>
      </c>
      <c r="G56" s="10">
        <v>37.799999999999997</v>
      </c>
      <c r="H56" s="11">
        <v>71.2</v>
      </c>
    </row>
    <row r="57" spans="1:8" x14ac:dyDescent="0.2">
      <c r="A57" s="9" t="s">
        <v>17</v>
      </c>
      <c r="B57" s="13"/>
      <c r="C57" s="9" t="s">
        <v>452</v>
      </c>
      <c r="D57" s="10">
        <v>86.4</v>
      </c>
      <c r="E57" s="10">
        <v>95.4</v>
      </c>
      <c r="F57" s="10">
        <v>97.5</v>
      </c>
      <c r="G57" s="10">
        <v>95.4</v>
      </c>
      <c r="H57" s="10">
        <v>98.9</v>
      </c>
    </row>
    <row r="58" spans="1:8" x14ac:dyDescent="0.2">
      <c r="A58" s="9" t="s">
        <v>16</v>
      </c>
      <c r="B58" s="9" t="s">
        <v>482</v>
      </c>
      <c r="C58" s="9" t="s">
        <v>452</v>
      </c>
      <c r="D58" s="10">
        <v>92.9</v>
      </c>
      <c r="E58" s="10">
        <v>99.4</v>
      </c>
      <c r="F58" s="10">
        <v>99.1</v>
      </c>
      <c r="G58" s="10">
        <v>98.9</v>
      </c>
      <c r="H58" s="10">
        <v>98.6</v>
      </c>
    </row>
    <row r="59" spans="1:8" x14ac:dyDescent="0.2">
      <c r="A59" s="9" t="s">
        <v>11</v>
      </c>
      <c r="B59" s="9" t="s">
        <v>483</v>
      </c>
      <c r="C59" s="9" t="s">
        <v>452</v>
      </c>
      <c r="D59" s="10">
        <v>99.5</v>
      </c>
      <c r="E59" s="10">
        <v>100</v>
      </c>
      <c r="F59" s="10">
        <v>99.5</v>
      </c>
      <c r="G59" s="10">
        <v>99.1</v>
      </c>
      <c r="H59" s="10">
        <v>99.5</v>
      </c>
    </row>
    <row r="60" spans="1:8" x14ac:dyDescent="0.2">
      <c r="A60" s="9" t="s">
        <v>62</v>
      </c>
      <c r="B60" s="9" t="s">
        <v>484</v>
      </c>
      <c r="C60" s="9" t="s">
        <v>457</v>
      </c>
      <c r="D60" s="10">
        <v>79.400000000000006</v>
      </c>
      <c r="E60" s="10">
        <v>91.9</v>
      </c>
      <c r="F60" s="10">
        <v>95.3</v>
      </c>
      <c r="G60" s="10">
        <v>87.9</v>
      </c>
      <c r="H60" s="10">
        <v>95.7</v>
      </c>
    </row>
    <row r="61" spans="1:8" x14ac:dyDescent="0.2">
      <c r="A61" s="9" t="s">
        <v>47</v>
      </c>
      <c r="B61" s="9" t="s">
        <v>485</v>
      </c>
      <c r="C61" s="9" t="s">
        <v>452</v>
      </c>
      <c r="D61" s="10">
        <v>61.1</v>
      </c>
      <c r="E61" s="10">
        <v>84.9</v>
      </c>
      <c r="F61" s="10">
        <v>81.900000000000006</v>
      </c>
      <c r="G61" s="11">
        <v>90.6</v>
      </c>
      <c r="H61" s="11">
        <v>88.1</v>
      </c>
    </row>
    <row r="62" spans="1:8" x14ac:dyDescent="0.2">
      <c r="A62" s="9" t="s">
        <v>36</v>
      </c>
      <c r="B62" s="9" t="s">
        <v>486</v>
      </c>
      <c r="C62" s="9" t="s">
        <v>487</v>
      </c>
      <c r="D62" s="10">
        <v>74.8</v>
      </c>
      <c r="E62" s="10">
        <v>95.8</v>
      </c>
      <c r="F62" s="10">
        <v>90.7</v>
      </c>
      <c r="G62" s="10">
        <v>92.8</v>
      </c>
      <c r="H62" s="10">
        <v>94.7</v>
      </c>
    </row>
    <row r="63" spans="1:8" x14ac:dyDescent="0.2">
      <c r="A63" s="9" t="s">
        <v>50</v>
      </c>
      <c r="B63" s="9" t="s">
        <v>488</v>
      </c>
      <c r="C63" s="9" t="s">
        <v>489</v>
      </c>
      <c r="D63" s="10">
        <v>93.3</v>
      </c>
      <c r="E63" s="10">
        <v>98.6</v>
      </c>
      <c r="F63" s="10">
        <v>98.5</v>
      </c>
      <c r="G63" s="10">
        <v>97.2</v>
      </c>
      <c r="H63" s="10">
        <v>99.7</v>
      </c>
    </row>
    <row r="64" spans="1:8" x14ac:dyDescent="0.2">
      <c r="A64" s="9" t="s">
        <v>46</v>
      </c>
      <c r="B64" s="13"/>
      <c r="C64" s="9" t="s">
        <v>448</v>
      </c>
      <c r="D64" s="10">
        <v>74.3</v>
      </c>
      <c r="E64" s="10">
        <v>77.3</v>
      </c>
      <c r="F64" s="10">
        <v>89.9</v>
      </c>
      <c r="G64" s="10">
        <v>81.400000000000006</v>
      </c>
      <c r="H64" s="10">
        <v>88.8</v>
      </c>
    </row>
    <row r="65" spans="1:8" x14ac:dyDescent="0.2">
      <c r="A65" s="9" t="s">
        <v>40</v>
      </c>
      <c r="B65" s="13"/>
      <c r="C65" s="9" t="s">
        <v>463</v>
      </c>
      <c r="D65" s="10">
        <v>26.2</v>
      </c>
      <c r="E65" s="11">
        <v>58.6</v>
      </c>
      <c r="F65" s="11">
        <v>66.400000000000006</v>
      </c>
      <c r="G65" s="11">
        <v>61.7</v>
      </c>
      <c r="H65" s="11">
        <v>76.3</v>
      </c>
    </row>
    <row r="66" spans="1:8" x14ac:dyDescent="0.2">
      <c r="A66" s="9" t="s">
        <v>43</v>
      </c>
      <c r="B66" s="13"/>
      <c r="C66" s="9" t="s">
        <v>490</v>
      </c>
      <c r="D66" s="10">
        <v>61.1</v>
      </c>
      <c r="E66" s="10">
        <v>81.900000000000006</v>
      </c>
      <c r="F66" s="10">
        <v>84.6</v>
      </c>
      <c r="G66" s="10">
        <v>68.900000000000006</v>
      </c>
      <c r="H66" s="10">
        <v>84.3</v>
      </c>
    </row>
    <row r="67" spans="1:8" x14ac:dyDescent="0.2">
      <c r="A67" s="9" t="s">
        <v>55</v>
      </c>
      <c r="B67" s="9" t="s">
        <v>491</v>
      </c>
      <c r="C67" s="9" t="s">
        <v>492</v>
      </c>
      <c r="D67" s="10">
        <v>34.5</v>
      </c>
      <c r="E67" s="10">
        <v>49</v>
      </c>
      <c r="F67" s="10">
        <v>44.7</v>
      </c>
      <c r="G67" s="10">
        <v>53.2</v>
      </c>
      <c r="H67" s="10">
        <v>50</v>
      </c>
    </row>
    <row r="68" spans="1:8" x14ac:dyDescent="0.2">
      <c r="A68" s="9" t="s">
        <v>493</v>
      </c>
      <c r="B68" s="13"/>
      <c r="C68" s="9" t="s">
        <v>494</v>
      </c>
      <c r="D68" s="10">
        <v>36.700000000000003</v>
      </c>
      <c r="E68" s="11">
        <v>85.1</v>
      </c>
      <c r="F68" s="11">
        <v>80.5</v>
      </c>
      <c r="G68" s="11">
        <v>85.3</v>
      </c>
      <c r="H68" s="11">
        <v>84.2</v>
      </c>
    </row>
    <row r="69" spans="1:8" x14ac:dyDescent="0.2">
      <c r="A69" s="9" t="s">
        <v>19</v>
      </c>
      <c r="B69" s="13"/>
      <c r="C69" s="9" t="s">
        <v>494</v>
      </c>
      <c r="D69" s="10">
        <v>32.5</v>
      </c>
      <c r="E69" s="11">
        <v>63.8</v>
      </c>
      <c r="F69" s="11">
        <v>74.7</v>
      </c>
      <c r="G69" s="11">
        <v>85.4</v>
      </c>
      <c r="H69" s="11">
        <v>89.9</v>
      </c>
    </row>
    <row r="70" spans="1:8" x14ac:dyDescent="0.2">
      <c r="A70" s="9" t="s">
        <v>61</v>
      </c>
      <c r="B70" s="9" t="s">
        <v>495</v>
      </c>
      <c r="C70" s="9" t="s">
        <v>490</v>
      </c>
      <c r="D70" s="10">
        <v>12.3</v>
      </c>
      <c r="E70" s="11">
        <v>43.7</v>
      </c>
      <c r="F70" s="11">
        <v>44.3</v>
      </c>
      <c r="G70" s="10">
        <v>13.7</v>
      </c>
      <c r="H70" s="11">
        <v>59.2</v>
      </c>
    </row>
    <row r="71" spans="1:8" x14ac:dyDescent="0.2">
      <c r="A71" s="9" t="s">
        <v>44</v>
      </c>
      <c r="B71" s="9" t="s">
        <v>496</v>
      </c>
      <c r="C71" s="9" t="s">
        <v>452</v>
      </c>
      <c r="D71" s="10">
        <v>76.2</v>
      </c>
      <c r="E71" s="10">
        <v>93</v>
      </c>
      <c r="F71" s="10">
        <v>93.3</v>
      </c>
      <c r="G71" s="11">
        <v>98.9</v>
      </c>
      <c r="H71" s="10">
        <v>98.5</v>
      </c>
    </row>
    <row r="72" spans="1:8" x14ac:dyDescent="0.2">
      <c r="A72" s="9" t="s">
        <v>12</v>
      </c>
      <c r="B72" s="13"/>
      <c r="C72" s="9" t="s">
        <v>448</v>
      </c>
      <c r="D72" s="10">
        <v>58.1</v>
      </c>
      <c r="E72" s="10">
        <v>66.599999999999994</v>
      </c>
      <c r="F72" s="11">
        <v>85.4</v>
      </c>
      <c r="G72" s="11">
        <v>99.6</v>
      </c>
      <c r="H72" s="11">
        <v>92.2</v>
      </c>
    </row>
    <row r="73" spans="1:8" x14ac:dyDescent="0.2">
      <c r="A73" s="9" t="s">
        <v>7</v>
      </c>
      <c r="B73" s="13"/>
      <c r="C73" s="9" t="s">
        <v>468</v>
      </c>
      <c r="D73" s="10">
        <v>22</v>
      </c>
      <c r="E73" s="11">
        <v>41.4</v>
      </c>
      <c r="F73" s="11">
        <v>41.4</v>
      </c>
      <c r="G73" s="10">
        <v>31.3</v>
      </c>
      <c r="H73" s="11">
        <v>34.6</v>
      </c>
    </row>
    <row r="74" spans="1:8" x14ac:dyDescent="0.2">
      <c r="A74" s="9" t="s">
        <v>48</v>
      </c>
      <c r="B74" s="9" t="s">
        <v>497</v>
      </c>
      <c r="C74" s="9" t="s">
        <v>457</v>
      </c>
      <c r="D74" s="10">
        <v>38.9</v>
      </c>
      <c r="E74" s="10">
        <v>44.3</v>
      </c>
      <c r="F74" s="10">
        <v>46.1</v>
      </c>
      <c r="G74" s="11">
        <v>88.3</v>
      </c>
      <c r="H74" s="10">
        <v>51.6</v>
      </c>
    </row>
    <row r="75" spans="1:8" x14ac:dyDescent="0.2">
      <c r="A75" s="9" t="s">
        <v>58</v>
      </c>
      <c r="B75" s="13"/>
      <c r="C75" s="9" t="s">
        <v>498</v>
      </c>
      <c r="D75" s="10">
        <v>54.5</v>
      </c>
      <c r="E75" s="10">
        <v>76</v>
      </c>
      <c r="F75" s="11">
        <v>83.3</v>
      </c>
      <c r="G75" s="10">
        <v>75</v>
      </c>
      <c r="H75" s="11">
        <v>82.1</v>
      </c>
    </row>
    <row r="76" spans="1:8" x14ac:dyDescent="0.2">
      <c r="A76" s="9" t="s">
        <v>51</v>
      </c>
      <c r="B76" s="9" t="s">
        <v>499</v>
      </c>
      <c r="C76" s="9" t="s">
        <v>450</v>
      </c>
      <c r="D76" s="10">
        <v>95.1</v>
      </c>
      <c r="E76" s="10">
        <v>89.9</v>
      </c>
      <c r="F76" s="10">
        <v>93.6</v>
      </c>
      <c r="G76" s="10">
        <v>96.6</v>
      </c>
      <c r="H76" s="10">
        <v>97.4</v>
      </c>
    </row>
    <row r="77" spans="1:8" x14ac:dyDescent="0.2">
      <c r="A77" s="9" t="s">
        <v>24</v>
      </c>
      <c r="B77" s="13"/>
      <c r="C77" s="9" t="s">
        <v>448</v>
      </c>
      <c r="D77" s="10">
        <v>48.1</v>
      </c>
      <c r="E77" s="11">
        <v>79.400000000000006</v>
      </c>
      <c r="F77" s="10">
        <v>44.4</v>
      </c>
      <c r="G77" s="10">
        <v>71.8</v>
      </c>
      <c r="H77" s="10">
        <v>54.4</v>
      </c>
    </row>
    <row r="78" spans="1:8" x14ac:dyDescent="0.2">
      <c r="A78" s="9" t="s">
        <v>54</v>
      </c>
      <c r="B78" s="9" t="s">
        <v>500</v>
      </c>
      <c r="C78" s="9" t="s">
        <v>450</v>
      </c>
      <c r="D78" s="10">
        <v>84.8</v>
      </c>
      <c r="E78" s="10">
        <v>97</v>
      </c>
      <c r="F78" s="10">
        <v>95</v>
      </c>
      <c r="G78" s="10">
        <v>62.7</v>
      </c>
      <c r="H78" s="10">
        <v>94</v>
      </c>
    </row>
    <row r="79" spans="1:8" x14ac:dyDescent="0.2">
      <c r="A79" s="9" t="s">
        <v>9</v>
      </c>
      <c r="B79" s="13"/>
      <c r="C79" s="9" t="s">
        <v>448</v>
      </c>
      <c r="D79" s="10">
        <v>58.7</v>
      </c>
      <c r="E79" s="10">
        <v>62.4</v>
      </c>
      <c r="F79" s="10">
        <v>70.3</v>
      </c>
      <c r="G79" s="11">
        <v>90.8</v>
      </c>
      <c r="H79" s="10">
        <v>83.4</v>
      </c>
    </row>
    <row r="80" spans="1:8" x14ac:dyDescent="0.2">
      <c r="A80" s="9" t="s">
        <v>6</v>
      </c>
      <c r="B80" s="9" t="s">
        <v>501</v>
      </c>
      <c r="C80" s="9" t="s">
        <v>502</v>
      </c>
      <c r="D80" s="10">
        <v>98</v>
      </c>
      <c r="E80" s="10">
        <v>100</v>
      </c>
      <c r="F80" s="10">
        <v>99.3</v>
      </c>
      <c r="G80" s="10">
        <v>99.7</v>
      </c>
      <c r="H80" s="10">
        <v>99.6</v>
      </c>
    </row>
    <row r="81" spans="1:8" x14ac:dyDescent="0.2">
      <c r="A81" s="9" t="s">
        <v>0</v>
      </c>
      <c r="B81" s="13"/>
      <c r="C81" s="9" t="s">
        <v>463</v>
      </c>
      <c r="D81" s="10">
        <v>33.700000000000003</v>
      </c>
      <c r="E81" s="10">
        <v>39.5</v>
      </c>
      <c r="F81" s="10">
        <v>43.3</v>
      </c>
      <c r="G81" s="11">
        <v>61</v>
      </c>
      <c r="H81" s="10">
        <v>46.5</v>
      </c>
    </row>
    <row r="82" spans="1:8" x14ac:dyDescent="0.2">
      <c r="A82" s="9" t="s">
        <v>1</v>
      </c>
      <c r="B82" s="13"/>
      <c r="C82" s="9" t="s">
        <v>503</v>
      </c>
      <c r="D82" s="10">
        <v>10.1</v>
      </c>
      <c r="E82" s="11">
        <v>51.2</v>
      </c>
      <c r="F82" s="11">
        <v>68.5</v>
      </c>
      <c r="G82" s="10">
        <v>19.5</v>
      </c>
      <c r="H82" s="11">
        <v>79.7</v>
      </c>
    </row>
    <row r="83" spans="1:8" x14ac:dyDescent="0.2">
      <c r="A83" s="9" t="s">
        <v>57</v>
      </c>
      <c r="B83" s="13"/>
      <c r="C83" s="9" t="s">
        <v>468</v>
      </c>
      <c r="D83" s="10">
        <v>17.3</v>
      </c>
      <c r="E83" s="11">
        <v>64.7</v>
      </c>
      <c r="F83" s="11">
        <v>72.099999999999994</v>
      </c>
      <c r="G83" s="10">
        <v>26.6</v>
      </c>
      <c r="H83" s="11">
        <v>74.5</v>
      </c>
    </row>
    <row r="84" spans="1:8" x14ac:dyDescent="0.2">
      <c r="A84" s="9" t="s">
        <v>21</v>
      </c>
      <c r="B84" s="9" t="s">
        <v>504</v>
      </c>
      <c r="C84" s="9" t="s">
        <v>457</v>
      </c>
      <c r="D84" s="10">
        <v>27.3</v>
      </c>
      <c r="E84" s="11">
        <v>48.8</v>
      </c>
      <c r="F84" s="10">
        <v>41.1</v>
      </c>
      <c r="G84" s="11">
        <v>76.3</v>
      </c>
      <c r="H84" s="11">
        <v>50.5</v>
      </c>
    </row>
    <row r="85" spans="1:8" x14ac:dyDescent="0.2">
      <c r="A85" s="9" t="s">
        <v>505</v>
      </c>
      <c r="B85" s="13"/>
      <c r="C85" s="9" t="s">
        <v>460</v>
      </c>
      <c r="D85" s="10">
        <v>67.8</v>
      </c>
      <c r="E85" s="11">
        <v>31.4</v>
      </c>
      <c r="F85" s="11">
        <v>30.1</v>
      </c>
      <c r="G85" s="11">
        <v>32.5</v>
      </c>
      <c r="H85" s="11">
        <v>35.5</v>
      </c>
    </row>
    <row r="86" spans="1:8" x14ac:dyDescent="0.2">
      <c r="A86" s="9" t="s">
        <v>60</v>
      </c>
      <c r="B86" s="9" t="s">
        <v>506</v>
      </c>
      <c r="C86" s="9" t="s">
        <v>463</v>
      </c>
      <c r="D86" s="10">
        <v>68.400000000000006</v>
      </c>
      <c r="E86" s="10">
        <v>80</v>
      </c>
      <c r="F86" s="10">
        <v>88.6</v>
      </c>
      <c r="G86" s="10">
        <v>77</v>
      </c>
      <c r="H86" s="10">
        <v>88.1</v>
      </c>
    </row>
    <row r="87" spans="1:8" x14ac:dyDescent="0.2">
      <c r="A87" s="9" t="s">
        <v>70</v>
      </c>
      <c r="B87" s="13"/>
      <c r="C87" s="9" t="s">
        <v>463</v>
      </c>
      <c r="D87" s="10">
        <v>22.4</v>
      </c>
      <c r="E87" s="10">
        <v>33.1</v>
      </c>
      <c r="F87" s="10">
        <v>32.1</v>
      </c>
      <c r="G87" s="10">
        <v>24</v>
      </c>
      <c r="H87" s="10">
        <v>23.8</v>
      </c>
    </row>
    <row r="88" spans="1:8" x14ac:dyDescent="0.2">
      <c r="A88" s="9" t="s">
        <v>72</v>
      </c>
      <c r="B88" s="13"/>
      <c r="C88" s="9" t="s">
        <v>463</v>
      </c>
      <c r="D88" s="10">
        <v>12.5</v>
      </c>
      <c r="E88" s="10">
        <v>17.399999999999999</v>
      </c>
      <c r="F88" s="10">
        <v>18.8</v>
      </c>
      <c r="G88" s="10">
        <v>18.3</v>
      </c>
      <c r="H88" s="10">
        <v>13.3</v>
      </c>
    </row>
    <row r="89" spans="1:8" x14ac:dyDescent="0.2">
      <c r="A89" s="9" t="s">
        <v>2</v>
      </c>
      <c r="B89" s="13"/>
      <c r="C89" s="9" t="s">
        <v>503</v>
      </c>
      <c r="D89" s="10">
        <v>9.1999999999999993</v>
      </c>
      <c r="E89" s="10">
        <v>15.3</v>
      </c>
      <c r="F89" s="11">
        <v>17.7</v>
      </c>
      <c r="G89" s="10">
        <v>18.5</v>
      </c>
      <c r="H89" s="10">
        <v>14.5</v>
      </c>
    </row>
    <row r="90" spans="1:8" x14ac:dyDescent="0.2">
      <c r="A90" s="9" t="s">
        <v>3</v>
      </c>
      <c r="B90" s="13"/>
      <c r="C90" s="9" t="s">
        <v>507</v>
      </c>
      <c r="D90" s="10">
        <v>6.9</v>
      </c>
      <c r="E90" s="10">
        <v>8.3000000000000007</v>
      </c>
      <c r="F90" s="10">
        <v>9.8000000000000007</v>
      </c>
      <c r="G90" s="10">
        <v>15.3</v>
      </c>
      <c r="H90" s="10">
        <v>12.5</v>
      </c>
    </row>
    <row r="91" spans="1:8" x14ac:dyDescent="0.2">
      <c r="A91" s="9" t="s">
        <v>508</v>
      </c>
      <c r="B91" s="13"/>
      <c r="C91" s="9" t="s">
        <v>448</v>
      </c>
      <c r="D91" s="10">
        <v>4.4000000000000004</v>
      </c>
      <c r="E91" s="10">
        <v>7.1</v>
      </c>
      <c r="F91" s="10">
        <v>6.8</v>
      </c>
      <c r="G91" s="10">
        <v>12.7</v>
      </c>
      <c r="H91" s="10">
        <v>7.4</v>
      </c>
    </row>
    <row r="92" spans="1:8" ht="17" thickBot="1" x14ac:dyDescent="0.25">
      <c r="A92" s="14" t="s">
        <v>25</v>
      </c>
      <c r="B92" s="14" t="s">
        <v>509</v>
      </c>
      <c r="C92" s="14" t="s">
        <v>452</v>
      </c>
      <c r="D92" s="15">
        <v>53.5</v>
      </c>
      <c r="E92" s="16">
        <v>81.2</v>
      </c>
      <c r="F92" s="16">
        <v>92.3</v>
      </c>
      <c r="G92" s="16">
        <v>97.9</v>
      </c>
      <c r="H92" s="16">
        <v>93.1</v>
      </c>
    </row>
    <row r="93" spans="1:8" x14ac:dyDescent="0.2">
      <c r="A93" s="18" t="s">
        <v>510</v>
      </c>
      <c r="B93" s="18"/>
      <c r="C93" s="18"/>
      <c r="D93" s="18"/>
      <c r="E93" s="18"/>
      <c r="F93" s="18"/>
      <c r="G93" s="18"/>
      <c r="H93" s="8"/>
    </row>
    <row r="94" spans="1:8" x14ac:dyDescent="0.2">
      <c r="A94" s="9" t="s">
        <v>511</v>
      </c>
      <c r="B94" s="13"/>
      <c r="C94" s="9" t="s">
        <v>512</v>
      </c>
      <c r="D94" s="10">
        <v>35.9</v>
      </c>
      <c r="E94" s="10">
        <v>33.5</v>
      </c>
      <c r="F94" s="10">
        <v>34.4</v>
      </c>
      <c r="G94" s="10">
        <v>41.1</v>
      </c>
      <c r="H94" s="10">
        <v>36.700000000000003</v>
      </c>
    </row>
    <row r="95" spans="1:8" x14ac:dyDescent="0.2">
      <c r="A95" s="9" t="s">
        <v>513</v>
      </c>
      <c r="B95" s="13"/>
      <c r="C95" s="9" t="s">
        <v>514</v>
      </c>
      <c r="D95" s="10">
        <v>75.5</v>
      </c>
      <c r="E95" s="11">
        <v>45.9</v>
      </c>
      <c r="F95" s="11">
        <v>40.299999999999997</v>
      </c>
      <c r="G95" s="10">
        <v>60.1</v>
      </c>
      <c r="H95" s="11">
        <v>40.9</v>
      </c>
    </row>
    <row r="96" spans="1:8" x14ac:dyDescent="0.2">
      <c r="A96" s="9" t="s">
        <v>515</v>
      </c>
      <c r="B96" s="12" t="s">
        <v>516</v>
      </c>
      <c r="C96" s="9" t="s">
        <v>457</v>
      </c>
      <c r="D96" s="10">
        <v>45.6</v>
      </c>
      <c r="E96" s="10">
        <v>36.799999999999997</v>
      </c>
      <c r="F96" s="10">
        <v>47.8</v>
      </c>
      <c r="G96" s="11">
        <v>89.2</v>
      </c>
      <c r="H96" s="10">
        <v>56.9</v>
      </c>
    </row>
    <row r="97" spans="1:8" x14ac:dyDescent="0.2">
      <c r="A97" s="9" t="s">
        <v>517</v>
      </c>
      <c r="B97" s="12" t="s">
        <v>518</v>
      </c>
      <c r="C97" s="9" t="s">
        <v>519</v>
      </c>
      <c r="D97" s="10">
        <v>85.3</v>
      </c>
      <c r="E97" s="10">
        <v>80.3</v>
      </c>
      <c r="F97" s="10">
        <v>84.8</v>
      </c>
      <c r="G97" s="10">
        <v>98.4</v>
      </c>
      <c r="H97" s="10">
        <v>92.7</v>
      </c>
    </row>
    <row r="98" spans="1:8" x14ac:dyDescent="0.2">
      <c r="A98" s="9" t="s">
        <v>520</v>
      </c>
      <c r="B98" s="13"/>
      <c r="C98" s="9" t="s">
        <v>487</v>
      </c>
      <c r="D98" s="10">
        <v>52</v>
      </c>
      <c r="E98" s="10">
        <v>45</v>
      </c>
      <c r="F98" s="10">
        <v>56.3</v>
      </c>
      <c r="G98" s="10">
        <v>45.7</v>
      </c>
      <c r="H98" s="10">
        <v>52.1</v>
      </c>
    </row>
    <row r="99" spans="1:8" x14ac:dyDescent="0.2">
      <c r="A99" s="9" t="s">
        <v>521</v>
      </c>
      <c r="B99" s="13"/>
      <c r="C99" s="9" t="s">
        <v>522</v>
      </c>
      <c r="D99" s="10">
        <v>82.5</v>
      </c>
      <c r="E99" s="10">
        <v>84.4</v>
      </c>
      <c r="F99" s="10">
        <v>81.8</v>
      </c>
      <c r="G99" s="10">
        <v>79.8</v>
      </c>
      <c r="H99" s="10">
        <v>87.3</v>
      </c>
    </row>
    <row r="100" spans="1:8" x14ac:dyDescent="0.2">
      <c r="A100" s="9" t="s">
        <v>523</v>
      </c>
      <c r="B100" s="13"/>
      <c r="C100" s="9" t="s">
        <v>524</v>
      </c>
      <c r="D100" s="10">
        <v>32.4</v>
      </c>
      <c r="E100" s="10">
        <v>47</v>
      </c>
      <c r="F100" s="10">
        <v>36.1</v>
      </c>
      <c r="G100" s="10">
        <v>39.200000000000003</v>
      </c>
      <c r="H100" s="10">
        <v>24.5</v>
      </c>
    </row>
    <row r="101" spans="1:8" x14ac:dyDescent="0.2">
      <c r="A101" s="9" t="s">
        <v>525</v>
      </c>
      <c r="B101" s="13"/>
      <c r="C101" s="9" t="s">
        <v>526</v>
      </c>
      <c r="D101" s="10">
        <v>92.4</v>
      </c>
      <c r="E101" s="10">
        <v>82.3</v>
      </c>
      <c r="F101" s="10">
        <v>83</v>
      </c>
      <c r="G101" s="10">
        <v>71.8</v>
      </c>
      <c r="H101" s="10">
        <v>87.1</v>
      </c>
    </row>
    <row r="102" spans="1:8" x14ac:dyDescent="0.2">
      <c r="A102" s="9" t="s">
        <v>527</v>
      </c>
      <c r="B102" s="13"/>
      <c r="C102" s="9" t="s">
        <v>528</v>
      </c>
      <c r="D102" s="10">
        <v>15</v>
      </c>
      <c r="E102" s="10">
        <v>14.9</v>
      </c>
      <c r="F102" s="10">
        <v>16.100000000000001</v>
      </c>
      <c r="G102" s="10">
        <v>20.8</v>
      </c>
      <c r="H102" s="10">
        <v>12.8</v>
      </c>
    </row>
    <row r="103" spans="1:8" x14ac:dyDescent="0.2">
      <c r="A103" s="9" t="s">
        <v>529</v>
      </c>
      <c r="B103" s="12" t="s">
        <v>530</v>
      </c>
      <c r="C103" s="9" t="s">
        <v>531</v>
      </c>
      <c r="D103" s="10">
        <v>77.599999999999994</v>
      </c>
      <c r="E103" s="11">
        <v>53.9</v>
      </c>
      <c r="F103" s="10">
        <v>54.2</v>
      </c>
      <c r="G103" s="11">
        <v>99.5</v>
      </c>
      <c r="H103" s="10">
        <v>61.2</v>
      </c>
    </row>
    <row r="104" spans="1:8" x14ac:dyDescent="0.2">
      <c r="A104" s="9" t="s">
        <v>532</v>
      </c>
      <c r="B104" s="13"/>
      <c r="C104" s="9" t="s">
        <v>514</v>
      </c>
      <c r="D104" s="10">
        <v>46.7</v>
      </c>
      <c r="E104" s="10">
        <v>42.3</v>
      </c>
      <c r="F104" s="10">
        <v>44.1</v>
      </c>
      <c r="G104" s="11">
        <v>99.8</v>
      </c>
      <c r="H104" s="10">
        <v>43.3</v>
      </c>
    </row>
    <row r="105" spans="1:8" x14ac:dyDescent="0.2">
      <c r="A105" s="9" t="s">
        <v>533</v>
      </c>
      <c r="B105" s="13"/>
      <c r="C105" s="9" t="s">
        <v>534</v>
      </c>
      <c r="D105" s="10">
        <v>41.7</v>
      </c>
      <c r="E105" s="10">
        <v>49.3</v>
      </c>
      <c r="F105" s="10">
        <v>45.6</v>
      </c>
      <c r="G105" s="11">
        <v>70.599999999999994</v>
      </c>
      <c r="H105" s="10">
        <v>53.6</v>
      </c>
    </row>
    <row r="106" spans="1:8" x14ac:dyDescent="0.2">
      <c r="A106" s="9" t="s">
        <v>535</v>
      </c>
      <c r="B106" s="13"/>
      <c r="C106" s="9" t="s">
        <v>531</v>
      </c>
      <c r="D106" s="10">
        <v>39.299999999999997</v>
      </c>
      <c r="E106" s="10">
        <v>46.1</v>
      </c>
      <c r="F106" s="10">
        <v>50</v>
      </c>
      <c r="G106" s="10">
        <v>40.6</v>
      </c>
      <c r="H106" s="10">
        <v>44</v>
      </c>
    </row>
    <row r="107" spans="1:8" x14ac:dyDescent="0.2">
      <c r="A107" s="9" t="s">
        <v>536</v>
      </c>
      <c r="B107" s="13"/>
      <c r="C107" s="9" t="s">
        <v>522</v>
      </c>
      <c r="D107" s="10">
        <v>90.8</v>
      </c>
      <c r="E107" s="10">
        <v>82.7</v>
      </c>
      <c r="F107" s="10">
        <v>87.1</v>
      </c>
      <c r="G107" s="10">
        <v>85.1</v>
      </c>
      <c r="H107" s="10">
        <v>93.1</v>
      </c>
    </row>
    <row r="108" spans="1:8" x14ac:dyDescent="0.2">
      <c r="A108" s="9" t="s">
        <v>537</v>
      </c>
      <c r="B108" s="13"/>
      <c r="C108" s="9" t="s">
        <v>538</v>
      </c>
      <c r="D108" s="10">
        <v>94.6</v>
      </c>
      <c r="E108" s="10">
        <v>99.1</v>
      </c>
      <c r="F108" s="10">
        <v>98.8</v>
      </c>
      <c r="G108" s="10">
        <v>97.7</v>
      </c>
      <c r="H108" s="10">
        <v>98.8</v>
      </c>
    </row>
    <row r="109" spans="1:8" x14ac:dyDescent="0.2">
      <c r="A109" s="9" t="s">
        <v>539</v>
      </c>
      <c r="B109" s="12" t="s">
        <v>540</v>
      </c>
      <c r="C109" s="9" t="s">
        <v>541</v>
      </c>
      <c r="D109" s="10">
        <v>60.5</v>
      </c>
      <c r="E109" s="10">
        <v>50.9</v>
      </c>
      <c r="F109" s="10">
        <v>71.7</v>
      </c>
      <c r="G109" s="10">
        <v>68.099999999999994</v>
      </c>
      <c r="H109" s="10">
        <v>77.099999999999994</v>
      </c>
    </row>
    <row r="110" spans="1:8" x14ac:dyDescent="0.2">
      <c r="A110" s="9" t="s">
        <v>542</v>
      </c>
      <c r="B110" s="12" t="s">
        <v>543</v>
      </c>
      <c r="C110" s="9" t="s">
        <v>544</v>
      </c>
      <c r="D110" s="10">
        <v>57.5</v>
      </c>
      <c r="E110" s="10">
        <v>83</v>
      </c>
      <c r="F110" s="10">
        <v>80</v>
      </c>
      <c r="G110" s="11">
        <v>87.7</v>
      </c>
      <c r="H110" s="10">
        <v>82.2</v>
      </c>
    </row>
    <row r="111" spans="1:8" x14ac:dyDescent="0.2">
      <c r="A111" s="9" t="s">
        <v>545</v>
      </c>
      <c r="B111" s="12" t="s">
        <v>546</v>
      </c>
      <c r="C111" s="9" t="s">
        <v>452</v>
      </c>
      <c r="D111" s="10">
        <v>40</v>
      </c>
      <c r="E111" s="10">
        <v>35.700000000000003</v>
      </c>
      <c r="F111" s="10">
        <v>46.8</v>
      </c>
      <c r="G111" s="10">
        <v>43.1</v>
      </c>
      <c r="H111" s="10">
        <v>48.8</v>
      </c>
    </row>
    <row r="112" spans="1:8" x14ac:dyDescent="0.2">
      <c r="A112" s="9" t="s">
        <v>547</v>
      </c>
      <c r="B112" s="13"/>
      <c r="C112" s="9" t="s">
        <v>457</v>
      </c>
      <c r="D112" s="10">
        <v>53.9</v>
      </c>
      <c r="E112" s="10">
        <v>64</v>
      </c>
      <c r="F112" s="10">
        <v>63.8</v>
      </c>
      <c r="G112" s="11">
        <v>98.8</v>
      </c>
      <c r="H112" s="10">
        <v>67.8</v>
      </c>
    </row>
    <row r="113" spans="1:8" x14ac:dyDescent="0.2">
      <c r="A113" s="9" t="s">
        <v>548</v>
      </c>
      <c r="B113" s="13"/>
      <c r="C113" s="9" t="s">
        <v>549</v>
      </c>
      <c r="D113" s="10">
        <v>5.0999999999999996</v>
      </c>
      <c r="E113" s="10">
        <v>4.9000000000000004</v>
      </c>
      <c r="F113" s="10">
        <v>5.7</v>
      </c>
      <c r="G113" s="10">
        <v>5.0999999999999996</v>
      </c>
      <c r="H113" s="10">
        <v>3.2</v>
      </c>
    </row>
    <row r="114" spans="1:8" x14ac:dyDescent="0.2">
      <c r="A114" s="9" t="s">
        <v>550</v>
      </c>
      <c r="B114" s="13"/>
      <c r="C114" s="9" t="s">
        <v>551</v>
      </c>
      <c r="D114" s="10">
        <v>72.8</v>
      </c>
      <c r="E114" s="10">
        <v>74.7</v>
      </c>
      <c r="F114" s="10">
        <v>75.5</v>
      </c>
      <c r="G114" s="10">
        <v>62</v>
      </c>
      <c r="H114" s="10">
        <v>79.599999999999994</v>
      </c>
    </row>
    <row r="115" spans="1:8" x14ac:dyDescent="0.2">
      <c r="A115" s="9" t="s">
        <v>552</v>
      </c>
      <c r="B115" s="13"/>
      <c r="C115" s="9" t="s">
        <v>553</v>
      </c>
      <c r="D115" s="10">
        <v>72.099999999999994</v>
      </c>
      <c r="E115" s="10">
        <v>57</v>
      </c>
      <c r="F115" s="10">
        <v>75.900000000000006</v>
      </c>
      <c r="G115" s="11">
        <v>95</v>
      </c>
      <c r="H115" s="10">
        <v>79</v>
      </c>
    </row>
    <row r="116" spans="1:8" x14ac:dyDescent="0.2">
      <c r="A116" s="9" t="s">
        <v>554</v>
      </c>
      <c r="B116" s="13"/>
      <c r="C116" s="9" t="s">
        <v>555</v>
      </c>
      <c r="D116" s="10">
        <v>49.9</v>
      </c>
      <c r="E116" s="10">
        <v>56.2</v>
      </c>
      <c r="F116" s="10">
        <v>49.1</v>
      </c>
      <c r="G116" s="11">
        <v>81.099999999999994</v>
      </c>
      <c r="H116" s="10">
        <v>42.9</v>
      </c>
    </row>
    <row r="117" spans="1:8" x14ac:dyDescent="0.2">
      <c r="A117" s="9" t="s">
        <v>556</v>
      </c>
      <c r="B117" s="13"/>
      <c r="C117" s="9" t="s">
        <v>463</v>
      </c>
      <c r="D117" s="10">
        <v>62.3</v>
      </c>
      <c r="E117" s="10">
        <v>63.4</v>
      </c>
      <c r="F117" s="10">
        <v>63.1</v>
      </c>
      <c r="G117" s="10">
        <v>43.5</v>
      </c>
      <c r="H117" s="10">
        <v>63.5</v>
      </c>
    </row>
    <row r="118" spans="1:8" x14ac:dyDescent="0.2">
      <c r="A118" s="9" t="s">
        <v>557</v>
      </c>
      <c r="B118" s="13"/>
      <c r="C118" s="9" t="s">
        <v>450</v>
      </c>
      <c r="D118" s="10">
        <v>70.099999999999994</v>
      </c>
      <c r="E118" s="10">
        <v>81.099999999999994</v>
      </c>
      <c r="F118" s="10">
        <v>84.8</v>
      </c>
      <c r="G118" s="10">
        <v>86.1</v>
      </c>
      <c r="H118" s="10">
        <v>85.4</v>
      </c>
    </row>
    <row r="119" spans="1:8" x14ac:dyDescent="0.2">
      <c r="A119" s="9" t="s">
        <v>558</v>
      </c>
      <c r="B119" s="13"/>
      <c r="C119" s="9" t="s">
        <v>559</v>
      </c>
      <c r="D119" s="10">
        <v>34.6</v>
      </c>
      <c r="E119" s="10">
        <v>36.200000000000003</v>
      </c>
      <c r="F119" s="10">
        <v>38</v>
      </c>
      <c r="G119" s="11">
        <v>86.4</v>
      </c>
      <c r="H119" s="10">
        <v>47.1</v>
      </c>
    </row>
    <row r="120" spans="1:8" ht="17" thickBot="1" x14ac:dyDescent="0.25">
      <c r="A120" s="14" t="s">
        <v>560</v>
      </c>
      <c r="B120" s="17"/>
      <c r="C120" s="14" t="s">
        <v>561</v>
      </c>
      <c r="D120" s="15">
        <v>66.900000000000006</v>
      </c>
      <c r="E120" s="15">
        <v>60.9</v>
      </c>
      <c r="F120" s="15">
        <v>48</v>
      </c>
      <c r="G120" s="15">
        <v>60.8</v>
      </c>
      <c r="H120" s="15">
        <v>56.8</v>
      </c>
    </row>
  </sheetData>
  <mergeCells count="8">
    <mergeCell ref="A12:F12"/>
    <mergeCell ref="G12:H12"/>
    <mergeCell ref="A10:A11"/>
    <mergeCell ref="B10:B11"/>
    <mergeCell ref="C10:C11"/>
    <mergeCell ref="F10:F11"/>
    <mergeCell ref="G10:G11"/>
    <mergeCell ref="H10:H11"/>
  </mergeCells>
  <hyperlinks>
    <hyperlink ref="B2" r:id="rId1" display="https://doi.org/10.1126/sciadv.1501254" xr:uid="{1CEFA2AC-4631-8946-AD8A-4415682AE3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7AD5-5694-004D-BBFF-6F3378F51463}">
  <dimension ref="A1:B116"/>
  <sheetViews>
    <sheetView workbookViewId="0"/>
  </sheetViews>
  <sheetFormatPr baseColWidth="10" defaultRowHeight="16" x14ac:dyDescent="0.2"/>
  <sheetData>
    <row r="1" spans="1:2" x14ac:dyDescent="0.2">
      <c r="A1" t="s">
        <v>566</v>
      </c>
      <c r="B1" t="s">
        <v>567</v>
      </c>
    </row>
    <row r="10" spans="1:2" x14ac:dyDescent="0.2">
      <c r="A10" t="s">
        <v>73</v>
      </c>
    </row>
    <row r="11" spans="1:2" x14ac:dyDescent="0.2">
      <c r="A11" s="9" t="s">
        <v>31</v>
      </c>
    </row>
    <row r="12" spans="1:2" x14ac:dyDescent="0.2">
      <c r="A12" s="9" t="s">
        <v>13</v>
      </c>
    </row>
    <row r="13" spans="1:2" x14ac:dyDescent="0.2">
      <c r="A13" s="9" t="s">
        <v>23</v>
      </c>
    </row>
    <row r="14" spans="1:2" x14ac:dyDescent="0.2">
      <c r="A14" s="9" t="s">
        <v>35</v>
      </c>
    </row>
    <row r="15" spans="1:2" x14ac:dyDescent="0.2">
      <c r="A15" s="9" t="s">
        <v>18</v>
      </c>
    </row>
    <row r="16" spans="1:2" x14ac:dyDescent="0.2">
      <c r="A16" s="9" t="s">
        <v>8</v>
      </c>
    </row>
    <row r="17" spans="1:1" x14ac:dyDescent="0.2">
      <c r="A17" s="9" t="s">
        <v>27</v>
      </c>
    </row>
    <row r="18" spans="1:1" ht="17" thickBot="1" x14ac:dyDescent="0.25">
      <c r="A18" s="14" t="s">
        <v>39</v>
      </c>
    </row>
    <row r="19" spans="1:1" x14ac:dyDescent="0.2">
      <c r="A19" s="9" t="s">
        <v>447</v>
      </c>
    </row>
    <row r="20" spans="1:1" x14ac:dyDescent="0.2">
      <c r="A20" s="9" t="s">
        <v>63</v>
      </c>
    </row>
    <row r="21" spans="1:1" x14ac:dyDescent="0.2">
      <c r="A21" s="9" t="s">
        <v>29</v>
      </c>
    </row>
    <row r="22" spans="1:1" x14ac:dyDescent="0.2">
      <c r="A22" s="9" t="s">
        <v>53</v>
      </c>
    </row>
    <row r="23" spans="1:1" x14ac:dyDescent="0.2">
      <c r="A23" s="9" t="s">
        <v>4</v>
      </c>
    </row>
    <row r="24" spans="1:1" x14ac:dyDescent="0.2">
      <c r="A24" s="9" t="s">
        <v>33</v>
      </c>
    </row>
    <row r="25" spans="1:1" x14ac:dyDescent="0.2">
      <c r="A25" s="9" t="s">
        <v>15</v>
      </c>
    </row>
    <row r="26" spans="1:1" x14ac:dyDescent="0.2">
      <c r="A26" s="9" t="s">
        <v>28</v>
      </c>
    </row>
    <row r="27" spans="1:1" x14ac:dyDescent="0.2">
      <c r="A27" s="9" t="s">
        <v>458</v>
      </c>
    </row>
    <row r="28" spans="1:1" x14ac:dyDescent="0.2">
      <c r="A28" s="9" t="s">
        <v>52</v>
      </c>
    </row>
    <row r="29" spans="1:1" x14ac:dyDescent="0.2">
      <c r="A29" s="9" t="s">
        <v>66</v>
      </c>
    </row>
    <row r="30" spans="1:1" x14ac:dyDescent="0.2">
      <c r="A30" s="9" t="s">
        <v>69</v>
      </c>
    </row>
    <row r="31" spans="1:1" x14ac:dyDescent="0.2">
      <c r="A31" s="9" t="s">
        <v>49</v>
      </c>
    </row>
    <row r="32" spans="1:1" x14ac:dyDescent="0.2">
      <c r="A32" s="9" t="s">
        <v>32</v>
      </c>
    </row>
    <row r="33" spans="1:1" x14ac:dyDescent="0.2">
      <c r="A33" s="9" t="s">
        <v>67</v>
      </c>
    </row>
    <row r="34" spans="1:1" x14ac:dyDescent="0.2">
      <c r="A34" s="9" t="s">
        <v>45</v>
      </c>
    </row>
    <row r="35" spans="1:1" x14ac:dyDescent="0.2">
      <c r="A35" s="9" t="s">
        <v>42</v>
      </c>
    </row>
    <row r="36" spans="1:1" x14ac:dyDescent="0.2">
      <c r="A36" s="9" t="s">
        <v>467</v>
      </c>
    </row>
    <row r="37" spans="1:1" x14ac:dyDescent="0.2">
      <c r="A37" s="9" t="s">
        <v>38</v>
      </c>
    </row>
    <row r="38" spans="1:1" x14ac:dyDescent="0.2">
      <c r="A38" s="9" t="s">
        <v>34</v>
      </c>
    </row>
    <row r="39" spans="1:1" x14ac:dyDescent="0.2">
      <c r="A39" s="9" t="s">
        <v>59</v>
      </c>
    </row>
    <row r="40" spans="1:1" x14ac:dyDescent="0.2">
      <c r="A40" s="9" t="s">
        <v>30</v>
      </c>
    </row>
    <row r="41" spans="1:1" x14ac:dyDescent="0.2">
      <c r="A41" s="9" t="s">
        <v>26</v>
      </c>
    </row>
    <row r="42" spans="1:1" x14ac:dyDescent="0.2">
      <c r="A42" s="9" t="s">
        <v>65</v>
      </c>
    </row>
    <row r="43" spans="1:1" x14ac:dyDescent="0.2">
      <c r="A43" s="9" t="s">
        <v>20</v>
      </c>
    </row>
    <row r="44" spans="1:1" x14ac:dyDescent="0.2">
      <c r="A44" s="9" t="s">
        <v>64</v>
      </c>
    </row>
    <row r="45" spans="1:1" x14ac:dyDescent="0.2">
      <c r="A45" s="9" t="s">
        <v>22</v>
      </c>
    </row>
    <row r="46" spans="1:1" x14ac:dyDescent="0.2">
      <c r="A46" s="9" t="s">
        <v>71</v>
      </c>
    </row>
    <row r="47" spans="1:1" x14ac:dyDescent="0.2">
      <c r="A47" s="9" t="s">
        <v>14</v>
      </c>
    </row>
    <row r="48" spans="1:1" x14ac:dyDescent="0.2">
      <c r="A48" s="9" t="s">
        <v>5</v>
      </c>
    </row>
    <row r="49" spans="1:1" x14ac:dyDescent="0.2">
      <c r="A49" s="9" t="s">
        <v>41</v>
      </c>
    </row>
    <row r="50" spans="1:1" x14ac:dyDescent="0.2">
      <c r="A50" s="9" t="s">
        <v>10</v>
      </c>
    </row>
    <row r="51" spans="1:1" x14ac:dyDescent="0.2">
      <c r="A51" s="9" t="s">
        <v>56</v>
      </c>
    </row>
    <row r="52" spans="1:1" x14ac:dyDescent="0.2">
      <c r="A52" s="9" t="s">
        <v>37</v>
      </c>
    </row>
    <row r="53" spans="1:1" x14ac:dyDescent="0.2">
      <c r="A53" s="9" t="s">
        <v>68</v>
      </c>
    </row>
    <row r="54" spans="1:1" x14ac:dyDescent="0.2">
      <c r="A54" s="9" t="s">
        <v>17</v>
      </c>
    </row>
    <row r="55" spans="1:1" x14ac:dyDescent="0.2">
      <c r="A55" s="9" t="s">
        <v>16</v>
      </c>
    </row>
    <row r="56" spans="1:1" x14ac:dyDescent="0.2">
      <c r="A56" s="9" t="s">
        <v>11</v>
      </c>
    </row>
    <row r="57" spans="1:1" x14ac:dyDescent="0.2">
      <c r="A57" s="9" t="s">
        <v>62</v>
      </c>
    </row>
    <row r="58" spans="1:1" x14ac:dyDescent="0.2">
      <c r="A58" s="9" t="s">
        <v>47</v>
      </c>
    </row>
    <row r="59" spans="1:1" x14ac:dyDescent="0.2">
      <c r="A59" s="9" t="s">
        <v>36</v>
      </c>
    </row>
    <row r="60" spans="1:1" x14ac:dyDescent="0.2">
      <c r="A60" s="9" t="s">
        <v>50</v>
      </c>
    </row>
    <row r="61" spans="1:1" x14ac:dyDescent="0.2">
      <c r="A61" s="9" t="s">
        <v>46</v>
      </c>
    </row>
    <row r="62" spans="1:1" x14ac:dyDescent="0.2">
      <c r="A62" s="9" t="s">
        <v>40</v>
      </c>
    </row>
    <row r="63" spans="1:1" x14ac:dyDescent="0.2">
      <c r="A63" s="9" t="s">
        <v>43</v>
      </c>
    </row>
    <row r="64" spans="1:1" x14ac:dyDescent="0.2">
      <c r="A64" s="9" t="s">
        <v>55</v>
      </c>
    </row>
    <row r="65" spans="1:1" x14ac:dyDescent="0.2">
      <c r="A65" s="9" t="s">
        <v>493</v>
      </c>
    </row>
    <row r="66" spans="1:1" x14ac:dyDescent="0.2">
      <c r="A66" s="9" t="s">
        <v>19</v>
      </c>
    </row>
    <row r="67" spans="1:1" x14ac:dyDescent="0.2">
      <c r="A67" s="9" t="s">
        <v>61</v>
      </c>
    </row>
    <row r="68" spans="1:1" x14ac:dyDescent="0.2">
      <c r="A68" s="9" t="s">
        <v>44</v>
      </c>
    </row>
    <row r="69" spans="1:1" x14ac:dyDescent="0.2">
      <c r="A69" s="9" t="s">
        <v>12</v>
      </c>
    </row>
    <row r="70" spans="1:1" x14ac:dyDescent="0.2">
      <c r="A70" s="9" t="s">
        <v>7</v>
      </c>
    </row>
    <row r="71" spans="1:1" x14ac:dyDescent="0.2">
      <c r="A71" s="9" t="s">
        <v>48</v>
      </c>
    </row>
    <row r="72" spans="1:1" x14ac:dyDescent="0.2">
      <c r="A72" s="9" t="s">
        <v>58</v>
      </c>
    </row>
    <row r="73" spans="1:1" x14ac:dyDescent="0.2">
      <c r="A73" s="9" t="s">
        <v>51</v>
      </c>
    </row>
    <row r="74" spans="1:1" x14ac:dyDescent="0.2">
      <c r="A74" s="9" t="s">
        <v>24</v>
      </c>
    </row>
    <row r="75" spans="1:1" x14ac:dyDescent="0.2">
      <c r="A75" s="9" t="s">
        <v>54</v>
      </c>
    </row>
    <row r="76" spans="1:1" x14ac:dyDescent="0.2">
      <c r="A76" s="9" t="s">
        <v>9</v>
      </c>
    </row>
    <row r="77" spans="1:1" x14ac:dyDescent="0.2">
      <c r="A77" s="9" t="s">
        <v>6</v>
      </c>
    </row>
    <row r="78" spans="1:1" x14ac:dyDescent="0.2">
      <c r="A78" s="9" t="s">
        <v>0</v>
      </c>
    </row>
    <row r="79" spans="1:1" x14ac:dyDescent="0.2">
      <c r="A79" s="9" t="s">
        <v>1</v>
      </c>
    </row>
    <row r="80" spans="1:1" x14ac:dyDescent="0.2">
      <c r="A80" s="9" t="s">
        <v>57</v>
      </c>
    </row>
    <row r="81" spans="1:1" x14ac:dyDescent="0.2">
      <c r="A81" s="9" t="s">
        <v>21</v>
      </c>
    </row>
    <row r="82" spans="1:1" x14ac:dyDescent="0.2">
      <c r="A82" s="9" t="s">
        <v>505</v>
      </c>
    </row>
    <row r="83" spans="1:1" x14ac:dyDescent="0.2">
      <c r="A83" s="9" t="s">
        <v>60</v>
      </c>
    </row>
    <row r="84" spans="1:1" x14ac:dyDescent="0.2">
      <c r="A84" s="9" t="s">
        <v>70</v>
      </c>
    </row>
    <row r="85" spans="1:1" x14ac:dyDescent="0.2">
      <c r="A85" s="9" t="s">
        <v>72</v>
      </c>
    </row>
    <row r="86" spans="1:1" x14ac:dyDescent="0.2">
      <c r="A86" s="9" t="s">
        <v>2</v>
      </c>
    </row>
    <row r="87" spans="1:1" x14ac:dyDescent="0.2">
      <c r="A87" s="9" t="s">
        <v>3</v>
      </c>
    </row>
    <row r="88" spans="1:1" x14ac:dyDescent="0.2">
      <c r="A88" s="9" t="s">
        <v>508</v>
      </c>
    </row>
    <row r="89" spans="1:1" ht="17" thickBot="1" x14ac:dyDescent="0.25">
      <c r="A89" s="14" t="s">
        <v>25</v>
      </c>
    </row>
    <row r="90" spans="1:1" x14ac:dyDescent="0.2">
      <c r="A90" s="9" t="s">
        <v>511</v>
      </c>
    </row>
    <row r="91" spans="1:1" x14ac:dyDescent="0.2">
      <c r="A91" s="9" t="s">
        <v>513</v>
      </c>
    </row>
    <row r="92" spans="1:1" x14ac:dyDescent="0.2">
      <c r="A92" s="9" t="s">
        <v>515</v>
      </c>
    </row>
    <row r="93" spans="1:1" x14ac:dyDescent="0.2">
      <c r="A93" s="9" t="s">
        <v>517</v>
      </c>
    </row>
    <row r="94" spans="1:1" x14ac:dyDescent="0.2">
      <c r="A94" s="9" t="s">
        <v>520</v>
      </c>
    </row>
    <row r="95" spans="1:1" x14ac:dyDescent="0.2">
      <c r="A95" s="9" t="s">
        <v>521</v>
      </c>
    </row>
    <row r="96" spans="1:1" x14ac:dyDescent="0.2">
      <c r="A96" s="9" t="s">
        <v>523</v>
      </c>
    </row>
    <row r="97" spans="1:1" x14ac:dyDescent="0.2">
      <c r="A97" s="9" t="s">
        <v>525</v>
      </c>
    </row>
    <row r="98" spans="1:1" x14ac:dyDescent="0.2">
      <c r="A98" s="9" t="s">
        <v>527</v>
      </c>
    </row>
    <row r="99" spans="1:1" x14ac:dyDescent="0.2">
      <c r="A99" s="9" t="s">
        <v>529</v>
      </c>
    </row>
    <row r="100" spans="1:1" x14ac:dyDescent="0.2">
      <c r="A100" s="9" t="s">
        <v>532</v>
      </c>
    </row>
    <row r="101" spans="1:1" x14ac:dyDescent="0.2">
      <c r="A101" s="9" t="s">
        <v>533</v>
      </c>
    </row>
    <row r="102" spans="1:1" x14ac:dyDescent="0.2">
      <c r="A102" s="9" t="s">
        <v>535</v>
      </c>
    </row>
    <row r="103" spans="1:1" x14ac:dyDescent="0.2">
      <c r="A103" s="9" t="s">
        <v>536</v>
      </c>
    </row>
    <row r="104" spans="1:1" x14ac:dyDescent="0.2">
      <c r="A104" s="9" t="s">
        <v>537</v>
      </c>
    </row>
    <row r="105" spans="1:1" x14ac:dyDescent="0.2">
      <c r="A105" s="9" t="s">
        <v>539</v>
      </c>
    </row>
    <row r="106" spans="1:1" x14ac:dyDescent="0.2">
      <c r="A106" s="9" t="s">
        <v>542</v>
      </c>
    </row>
    <row r="107" spans="1:1" x14ac:dyDescent="0.2">
      <c r="A107" s="9" t="s">
        <v>545</v>
      </c>
    </row>
    <row r="108" spans="1:1" x14ac:dyDescent="0.2">
      <c r="A108" s="9" t="s">
        <v>547</v>
      </c>
    </row>
    <row r="109" spans="1:1" x14ac:dyDescent="0.2">
      <c r="A109" s="9" t="s">
        <v>548</v>
      </c>
    </row>
    <row r="110" spans="1:1" x14ac:dyDescent="0.2">
      <c r="A110" s="9" t="s">
        <v>550</v>
      </c>
    </row>
    <row r="111" spans="1:1" x14ac:dyDescent="0.2">
      <c r="A111" s="9" t="s">
        <v>552</v>
      </c>
    </row>
    <row r="112" spans="1:1" x14ac:dyDescent="0.2">
      <c r="A112" s="9" t="s">
        <v>554</v>
      </c>
    </row>
    <row r="113" spans="1:1" x14ac:dyDescent="0.2">
      <c r="A113" s="9" t="s">
        <v>556</v>
      </c>
    </row>
    <row r="114" spans="1:1" x14ac:dyDescent="0.2">
      <c r="A114" s="9" t="s">
        <v>557</v>
      </c>
    </row>
    <row r="115" spans="1:1" x14ac:dyDescent="0.2">
      <c r="A115" s="9" t="s">
        <v>558</v>
      </c>
    </row>
    <row r="116" spans="1:1" ht="17" thickBot="1" x14ac:dyDescent="0.25">
      <c r="A116" s="14" t="s">
        <v>560</v>
      </c>
    </row>
  </sheetData>
  <conditionalFormatting sqref="A11:A11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EBA8-F7EB-E641-A662-EA3DB10BE316}">
  <dimension ref="A2:C5"/>
  <sheetViews>
    <sheetView workbookViewId="0">
      <selection activeCell="A3" sqref="A3"/>
    </sheetView>
  </sheetViews>
  <sheetFormatPr baseColWidth="10" defaultRowHeight="16" x14ac:dyDescent="0.2"/>
  <sheetData>
    <row r="2" spans="1:3" x14ac:dyDescent="0.2">
      <c r="A2" t="s">
        <v>578</v>
      </c>
      <c r="B2" t="s">
        <v>577</v>
      </c>
      <c r="C2" t="s">
        <v>572</v>
      </c>
    </row>
    <row r="3" spans="1:3" x14ac:dyDescent="0.2">
      <c r="A3" t="s">
        <v>568</v>
      </c>
      <c r="B3" t="s">
        <v>570</v>
      </c>
      <c r="C3" t="s">
        <v>573</v>
      </c>
    </row>
    <row r="4" spans="1:3" x14ac:dyDescent="0.2">
      <c r="A4" t="s">
        <v>569</v>
      </c>
      <c r="B4" t="s">
        <v>571</v>
      </c>
      <c r="C4" t="s">
        <v>573</v>
      </c>
    </row>
    <row r="5" spans="1:3" x14ac:dyDescent="0.2">
      <c r="A5" t="s">
        <v>574</v>
      </c>
      <c r="B5" t="s">
        <v>575</v>
      </c>
      <c r="C5" t="s">
        <v>576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A6FE-1974-834C-890B-E6187DD0C9F4}">
  <dimension ref="A1:U41"/>
  <sheetViews>
    <sheetView topLeftCell="A2" workbookViewId="0">
      <selection activeCell="O7" sqref="O7"/>
    </sheetView>
  </sheetViews>
  <sheetFormatPr baseColWidth="10" defaultRowHeight="16" x14ac:dyDescent="0.2"/>
  <sheetData>
    <row r="1" spans="1:17" x14ac:dyDescent="0.2">
      <c r="A1" t="s">
        <v>270</v>
      </c>
    </row>
    <row r="2" spans="1:17" x14ac:dyDescent="0.2">
      <c r="A2">
        <v>1</v>
      </c>
      <c r="B2" t="s">
        <v>301</v>
      </c>
    </row>
    <row r="3" spans="1:17" x14ac:dyDescent="0.2">
      <c r="A3">
        <v>2</v>
      </c>
      <c r="B3" t="s">
        <v>271</v>
      </c>
    </row>
    <row r="5" spans="1:17" x14ac:dyDescent="0.2">
      <c r="A5" s="2" t="s">
        <v>247</v>
      </c>
    </row>
    <row r="6" spans="1:17" x14ac:dyDescent="0.2">
      <c r="A6" t="s">
        <v>222</v>
      </c>
      <c r="B6" t="s">
        <v>223</v>
      </c>
      <c r="C6" t="s">
        <v>224</v>
      </c>
      <c r="D6" t="s">
        <v>225</v>
      </c>
      <c r="E6" t="s">
        <v>226</v>
      </c>
      <c r="F6" t="s">
        <v>227</v>
      </c>
      <c r="G6" t="s">
        <v>228</v>
      </c>
      <c r="H6" t="s">
        <v>229</v>
      </c>
      <c r="I6" t="s">
        <v>230</v>
      </c>
      <c r="J6" t="s">
        <v>231</v>
      </c>
      <c r="K6" t="s">
        <v>232</v>
      </c>
      <c r="L6" t="s">
        <v>233</v>
      </c>
      <c r="M6" t="s">
        <v>234</v>
      </c>
      <c r="N6" t="s">
        <v>235</v>
      </c>
      <c r="O6" t="s">
        <v>74</v>
      </c>
    </row>
    <row r="7" spans="1:17" x14ac:dyDescent="0.2">
      <c r="A7" t="s">
        <v>203</v>
      </c>
      <c r="B7" t="s">
        <v>236</v>
      </c>
      <c r="C7">
        <v>12</v>
      </c>
      <c r="D7">
        <v>0.32800000000000001</v>
      </c>
      <c r="E7">
        <v>9.8000000000000004E-2</v>
      </c>
      <c r="F7">
        <v>0.92500000000000004</v>
      </c>
      <c r="G7">
        <v>0.84</v>
      </c>
      <c r="H7">
        <v>0.20599999999999999</v>
      </c>
      <c r="I7">
        <v>2.12E-2</v>
      </c>
      <c r="J7">
        <v>1.2E-2</v>
      </c>
      <c r="K7">
        <v>6.8000000000000005E-2</v>
      </c>
      <c r="L7">
        <v>1</v>
      </c>
      <c r="M7">
        <v>4.851</v>
      </c>
      <c r="N7">
        <v>9.7000000000000003E-2</v>
      </c>
      <c r="O7" s="5" t="s">
        <v>186</v>
      </c>
      <c r="Q7" s="5"/>
    </row>
    <row r="8" spans="1:17" x14ac:dyDescent="0.2">
      <c r="A8" t="s">
        <v>208</v>
      </c>
      <c r="B8" t="s">
        <v>241</v>
      </c>
      <c r="C8">
        <v>4</v>
      </c>
      <c r="D8">
        <v>0.20899999999999999</v>
      </c>
      <c r="E8">
        <v>5.7000000000000002E-2</v>
      </c>
      <c r="F8">
        <v>2.1000000000000001E-2</v>
      </c>
      <c r="G8">
        <v>1.35</v>
      </c>
      <c r="H8">
        <v>0.183</v>
      </c>
      <c r="I8">
        <v>9.4999999999999998E-3</v>
      </c>
      <c r="J8">
        <v>0.22700000000000001</v>
      </c>
      <c r="K8">
        <v>0.27200000000000002</v>
      </c>
      <c r="L8">
        <v>0.248</v>
      </c>
      <c r="M8">
        <v>4.8810000000000002</v>
      </c>
      <c r="N8">
        <v>9.5000000000000001E-2</v>
      </c>
      <c r="O8" s="5" t="s">
        <v>191</v>
      </c>
      <c r="Q8" s="5"/>
    </row>
    <row r="9" spans="1:17" x14ac:dyDescent="0.2">
      <c r="A9" t="s">
        <v>214</v>
      </c>
      <c r="B9" t="s">
        <v>239</v>
      </c>
      <c r="C9">
        <v>4</v>
      </c>
      <c r="D9">
        <v>0.34799999999999998</v>
      </c>
      <c r="E9">
        <v>0.10199999999999999</v>
      </c>
      <c r="F9">
        <v>0.96</v>
      </c>
      <c r="G9">
        <v>0.76600000000000001</v>
      </c>
      <c r="H9">
        <v>0.28499999999999998</v>
      </c>
      <c r="I9">
        <v>1.32E-2</v>
      </c>
      <c r="J9">
        <v>0</v>
      </c>
      <c r="K9">
        <v>6.8000000000000005E-2</v>
      </c>
      <c r="L9">
        <v>1.0169999999999999</v>
      </c>
      <c r="M9">
        <v>4.8680000000000003</v>
      </c>
      <c r="N9">
        <v>0.109</v>
      </c>
      <c r="O9" s="5" t="s">
        <v>199</v>
      </c>
      <c r="Q9" s="5"/>
    </row>
    <row r="10" spans="1:17" x14ac:dyDescent="0.2">
      <c r="A10" t="s">
        <v>217</v>
      </c>
      <c r="B10" t="s">
        <v>238</v>
      </c>
      <c r="C10">
        <v>4</v>
      </c>
      <c r="D10">
        <v>0.26</v>
      </c>
      <c r="E10">
        <v>7.1999999999999995E-2</v>
      </c>
      <c r="F10">
        <v>3.3000000000000002E-2</v>
      </c>
      <c r="G10">
        <v>0.84799999999999998</v>
      </c>
      <c r="H10">
        <v>5.5E-2</v>
      </c>
      <c r="I10">
        <v>8.9800000000000005E-2</v>
      </c>
      <c r="J10">
        <v>1.151</v>
      </c>
      <c r="K10">
        <v>0.34100000000000003</v>
      </c>
      <c r="L10">
        <v>0.63700000000000001</v>
      </c>
      <c r="M10">
        <v>4.75</v>
      </c>
      <c r="N10">
        <v>0.01</v>
      </c>
      <c r="O10" s="5" t="s">
        <v>202</v>
      </c>
      <c r="Q10" s="5"/>
    </row>
    <row r="11" spans="1:17" x14ac:dyDescent="0.2">
      <c r="A11" t="s">
        <v>211</v>
      </c>
      <c r="B11" t="s">
        <v>240</v>
      </c>
      <c r="C11">
        <v>4</v>
      </c>
      <c r="D11">
        <v>0.25600000000000001</v>
      </c>
      <c r="E11">
        <v>7.1999999999999995E-2</v>
      </c>
      <c r="F11">
        <v>2.5000000000000001E-2</v>
      </c>
      <c r="G11">
        <v>0.876</v>
      </c>
      <c r="H11">
        <v>0.14899999999999999</v>
      </c>
      <c r="I11">
        <v>5.16E-2</v>
      </c>
      <c r="J11">
        <v>0.89300000000000002</v>
      </c>
      <c r="K11">
        <v>0.40400000000000003</v>
      </c>
      <c r="L11">
        <v>0.47499999999999998</v>
      </c>
      <c r="M11">
        <v>4.7469999999999999</v>
      </c>
      <c r="N11">
        <v>0.109</v>
      </c>
      <c r="O11" s="5" t="s">
        <v>196</v>
      </c>
      <c r="Q11" s="5"/>
    </row>
    <row r="12" spans="1:17" x14ac:dyDescent="0.2">
      <c r="A12" t="s">
        <v>212</v>
      </c>
      <c r="B12" t="s">
        <v>242</v>
      </c>
      <c r="C12">
        <v>4</v>
      </c>
      <c r="D12">
        <v>0.25600000000000001</v>
      </c>
      <c r="E12">
        <v>7.1999999999999995E-2</v>
      </c>
      <c r="F12">
        <v>1.9E-2</v>
      </c>
      <c r="G12">
        <v>1.3160000000000001</v>
      </c>
      <c r="H12">
        <v>0.14699999999999999</v>
      </c>
      <c r="I12">
        <v>1.04E-2</v>
      </c>
      <c r="J12">
        <v>0.32300000000000001</v>
      </c>
      <c r="K12">
        <v>0.24399999999999999</v>
      </c>
      <c r="L12">
        <v>0.255</v>
      </c>
      <c r="M12">
        <v>4.8499999999999996</v>
      </c>
      <c r="N12">
        <v>9.1999999999999998E-2</v>
      </c>
      <c r="O12" s="5" t="s">
        <v>197</v>
      </c>
      <c r="Q12" s="5"/>
    </row>
    <row r="13" spans="1:17" x14ac:dyDescent="0.2">
      <c r="A13" t="s">
        <v>204</v>
      </c>
      <c r="B13" t="s">
        <v>246</v>
      </c>
      <c r="C13">
        <v>4</v>
      </c>
      <c r="D13">
        <v>0.23300000000000001</v>
      </c>
      <c r="E13">
        <v>5.8999999999999997E-2</v>
      </c>
      <c r="F13">
        <v>3.3000000000000002E-2</v>
      </c>
      <c r="G13">
        <v>0.77400000000000002</v>
      </c>
      <c r="H13">
        <v>0.123</v>
      </c>
      <c r="I13">
        <v>5.1400000000000001E-2</v>
      </c>
      <c r="J13">
        <v>1.23</v>
      </c>
      <c r="K13">
        <v>0.40300000000000002</v>
      </c>
      <c r="L13">
        <v>0.64800000000000002</v>
      </c>
      <c r="M13">
        <v>4.7469999999999999</v>
      </c>
      <c r="N13">
        <v>0.1</v>
      </c>
      <c r="O13" s="5" t="s">
        <v>187</v>
      </c>
      <c r="Q13" s="5"/>
    </row>
    <row r="14" spans="1:17" x14ac:dyDescent="0.2">
      <c r="A14" t="s">
        <v>205</v>
      </c>
      <c r="B14" t="s">
        <v>268</v>
      </c>
      <c r="C14">
        <v>4</v>
      </c>
      <c r="D14">
        <v>0.312</v>
      </c>
      <c r="E14">
        <v>8.5000000000000006E-2</v>
      </c>
      <c r="F14">
        <v>0.77400000000000002</v>
      </c>
      <c r="G14">
        <v>0.626</v>
      </c>
      <c r="H14">
        <v>0.158</v>
      </c>
      <c r="I14">
        <v>0.57899999999999996</v>
      </c>
      <c r="J14">
        <v>0.01</v>
      </c>
      <c r="K14">
        <v>7.8E-2</v>
      </c>
      <c r="L14">
        <v>1.0569999999999999</v>
      </c>
      <c r="M14">
        <v>4.6890000000000001</v>
      </c>
      <c r="N14">
        <v>9.9000000000000005E-2</v>
      </c>
      <c r="O14" s="5" t="s">
        <v>188</v>
      </c>
      <c r="Q14" s="5"/>
    </row>
    <row r="15" spans="1:17" x14ac:dyDescent="0.2">
      <c r="A15" t="s">
        <v>216</v>
      </c>
      <c r="B15" t="s">
        <v>269</v>
      </c>
      <c r="C15">
        <v>4</v>
      </c>
      <c r="D15">
        <v>0.29599999999999999</v>
      </c>
      <c r="E15">
        <v>7.6999999999999999E-2</v>
      </c>
      <c r="F15">
        <v>0.52300000000000002</v>
      </c>
      <c r="G15">
        <v>1.097</v>
      </c>
      <c r="H15">
        <v>0.24</v>
      </c>
      <c r="I15">
        <v>0.13170000000000001</v>
      </c>
      <c r="J15">
        <v>8.0000000000000002E-3</v>
      </c>
      <c r="K15">
        <v>7.2999999999999995E-2</v>
      </c>
      <c r="L15">
        <v>0.45700000000000002</v>
      </c>
      <c r="M15">
        <v>4.6890000000000001</v>
      </c>
      <c r="N15">
        <v>9.7000000000000003E-2</v>
      </c>
      <c r="O15" s="5" t="s">
        <v>201</v>
      </c>
      <c r="Q15" s="5"/>
    </row>
    <row r="16" spans="1:17" x14ac:dyDescent="0.2">
      <c r="A16" t="s">
        <v>206</v>
      </c>
      <c r="B16" t="s">
        <v>237</v>
      </c>
      <c r="C16">
        <v>4</v>
      </c>
      <c r="D16">
        <v>0.35399999999999998</v>
      </c>
      <c r="E16">
        <v>0.104</v>
      </c>
      <c r="F16">
        <v>0.97899999999999998</v>
      </c>
      <c r="G16">
        <v>0.71099999999999997</v>
      </c>
      <c r="H16">
        <v>0.26500000000000001</v>
      </c>
      <c r="I16">
        <v>1.7899999999999999E-2</v>
      </c>
      <c r="J16">
        <v>1.2E-2</v>
      </c>
      <c r="K16">
        <v>6.6000000000000003E-2</v>
      </c>
      <c r="L16">
        <v>1.0529999999999999</v>
      </c>
      <c r="M16">
        <v>4.6890000000000001</v>
      </c>
      <c r="N16">
        <v>9.8000000000000004E-2</v>
      </c>
      <c r="O16" s="5" t="s">
        <v>189</v>
      </c>
      <c r="Q16" s="5"/>
    </row>
    <row r="17" spans="1:21" x14ac:dyDescent="0.2">
      <c r="A17" t="s">
        <v>207</v>
      </c>
      <c r="B17" t="s">
        <v>245</v>
      </c>
      <c r="C17">
        <v>4</v>
      </c>
      <c r="D17">
        <v>0.35899999999999999</v>
      </c>
      <c r="E17">
        <v>0.107</v>
      </c>
      <c r="F17">
        <v>1.048</v>
      </c>
      <c r="G17">
        <v>0.66600000000000004</v>
      </c>
      <c r="H17">
        <v>0.317</v>
      </c>
      <c r="I17">
        <v>1.04E-2</v>
      </c>
      <c r="J17">
        <v>0</v>
      </c>
      <c r="K17">
        <v>6.3E-2</v>
      </c>
      <c r="L17">
        <v>1.1220000000000001</v>
      </c>
      <c r="M17">
        <v>4.8680000000000003</v>
      </c>
      <c r="N17">
        <v>0.10199999999999999</v>
      </c>
      <c r="O17" s="5" t="s">
        <v>190</v>
      </c>
      <c r="Q17" s="5"/>
    </row>
    <row r="18" spans="1:21" x14ac:dyDescent="0.2">
      <c r="A18" t="s">
        <v>210</v>
      </c>
      <c r="B18" t="s">
        <v>244</v>
      </c>
      <c r="C18">
        <v>4</v>
      </c>
      <c r="D18">
        <v>0.252</v>
      </c>
      <c r="E18">
        <v>6.7000000000000004E-2</v>
      </c>
      <c r="F18">
        <v>3.1E-2</v>
      </c>
      <c r="G18">
        <v>0.85599999999999998</v>
      </c>
      <c r="H18">
        <v>6.4000000000000001E-2</v>
      </c>
      <c r="I18">
        <v>0.14269999999999999</v>
      </c>
      <c r="J18">
        <v>0.999</v>
      </c>
      <c r="K18">
        <v>0.34200000000000003</v>
      </c>
      <c r="L18">
        <v>0.58199999999999996</v>
      </c>
      <c r="M18">
        <v>4.75</v>
      </c>
      <c r="N18">
        <v>9.9000000000000005E-2</v>
      </c>
      <c r="O18" s="5" t="s">
        <v>192</v>
      </c>
      <c r="Q18" s="5"/>
    </row>
    <row r="19" spans="1:21" x14ac:dyDescent="0.2">
      <c r="A19" t="s">
        <v>215</v>
      </c>
      <c r="B19" t="s">
        <v>267</v>
      </c>
      <c r="C19">
        <v>8</v>
      </c>
      <c r="D19">
        <v>0.218</v>
      </c>
      <c r="E19">
        <v>6.0999999999999999E-2</v>
      </c>
      <c r="F19">
        <v>2.4E-2</v>
      </c>
      <c r="G19">
        <v>1.304</v>
      </c>
      <c r="H19">
        <v>0.156</v>
      </c>
      <c r="I19">
        <v>2.0400000000000001E-2</v>
      </c>
      <c r="J19">
        <v>0.52100000000000002</v>
      </c>
      <c r="K19">
        <v>0.13</v>
      </c>
      <c r="L19">
        <v>0.246</v>
      </c>
      <c r="M19">
        <v>4.7839999999999998</v>
      </c>
      <c r="N19">
        <v>0.10199999999999999</v>
      </c>
      <c r="O19" s="5" t="s">
        <v>200</v>
      </c>
      <c r="Q19" s="5"/>
    </row>
    <row r="20" spans="1:21" x14ac:dyDescent="0.2">
      <c r="A20" t="s">
        <v>209</v>
      </c>
      <c r="B20" t="s">
        <v>267</v>
      </c>
      <c r="C20">
        <v>4</v>
      </c>
      <c r="D20">
        <v>0.19600000000000001</v>
      </c>
      <c r="E20">
        <v>4.8000000000000001E-2</v>
      </c>
      <c r="F20">
        <v>4.1000000000000002E-2</v>
      </c>
      <c r="G20">
        <v>0.82899999999999996</v>
      </c>
      <c r="H20">
        <v>0.14000000000000001</v>
      </c>
      <c r="I20">
        <v>6.5199999999999994E-2</v>
      </c>
      <c r="J20">
        <v>0.99199999999999999</v>
      </c>
      <c r="K20">
        <v>0.436</v>
      </c>
      <c r="L20">
        <v>0.51100000000000001</v>
      </c>
      <c r="M20">
        <v>4.8499999999999996</v>
      </c>
      <c r="N20">
        <v>9.1999999999999998E-2</v>
      </c>
      <c r="O20" s="5" t="s">
        <v>194</v>
      </c>
      <c r="Q20" s="5"/>
    </row>
    <row r="21" spans="1:21" x14ac:dyDescent="0.2">
      <c r="A21" t="s">
        <v>213</v>
      </c>
      <c r="B21" t="s">
        <v>243</v>
      </c>
      <c r="C21">
        <v>4</v>
      </c>
      <c r="D21">
        <v>0.36299999999999999</v>
      </c>
      <c r="E21">
        <v>0.105</v>
      </c>
      <c r="F21">
        <v>1.03</v>
      </c>
      <c r="G21">
        <v>0.64100000000000001</v>
      </c>
      <c r="H21">
        <v>0.32800000000000001</v>
      </c>
      <c r="I21">
        <v>1.7600000000000001E-2</v>
      </c>
      <c r="J21">
        <v>1.2999999999999999E-2</v>
      </c>
      <c r="K21">
        <v>6.5000000000000002E-2</v>
      </c>
      <c r="L21">
        <v>0.99399999999999999</v>
      </c>
      <c r="M21">
        <v>4.6890000000000001</v>
      </c>
      <c r="N21">
        <v>0.10199999999999999</v>
      </c>
      <c r="O21" s="5" t="s">
        <v>198</v>
      </c>
      <c r="Q21" s="5"/>
    </row>
    <row r="25" spans="1:21" x14ac:dyDescent="0.2">
      <c r="A25" s="2" t="s">
        <v>248</v>
      </c>
    </row>
    <row r="26" spans="1:21" x14ac:dyDescent="0.2">
      <c r="A26" t="s">
        <v>222</v>
      </c>
      <c r="B26" t="s">
        <v>223</v>
      </c>
      <c r="C26" t="s">
        <v>224</v>
      </c>
      <c r="D26" t="s">
        <v>249</v>
      </c>
      <c r="E26" t="s">
        <v>250</v>
      </c>
      <c r="F26" t="s">
        <v>251</v>
      </c>
      <c r="G26" t="s">
        <v>252</v>
      </c>
      <c r="H26" t="s">
        <v>253</v>
      </c>
      <c r="I26" t="s">
        <v>254</v>
      </c>
      <c r="J26" t="s">
        <v>255</v>
      </c>
      <c r="K26" t="s">
        <v>256</v>
      </c>
      <c r="L26" t="s">
        <v>257</v>
      </c>
      <c r="M26" t="s">
        <v>258</v>
      </c>
      <c r="N26" t="s">
        <v>259</v>
      </c>
      <c r="O26" t="s">
        <v>260</v>
      </c>
      <c r="P26" t="s">
        <v>261</v>
      </c>
      <c r="Q26" t="s">
        <v>262</v>
      </c>
      <c r="R26" t="s">
        <v>263</v>
      </c>
      <c r="S26" t="s">
        <v>264</v>
      </c>
      <c r="T26" t="s">
        <v>265</v>
      </c>
      <c r="U26" t="s">
        <v>266</v>
      </c>
    </row>
    <row r="27" spans="1:21" x14ac:dyDescent="0.2">
      <c r="A27" t="s">
        <v>203</v>
      </c>
      <c r="B27" t="s">
        <v>236</v>
      </c>
      <c r="C27">
        <v>12</v>
      </c>
      <c r="D27">
        <v>12.1</v>
      </c>
      <c r="E27">
        <v>0</v>
      </c>
      <c r="F27">
        <v>1.4</v>
      </c>
      <c r="G27">
        <v>0.9</v>
      </c>
      <c r="H27">
        <v>19.2</v>
      </c>
      <c r="I27">
        <v>0.6</v>
      </c>
      <c r="J27">
        <v>0</v>
      </c>
      <c r="K27">
        <v>4.7</v>
      </c>
      <c r="L27">
        <v>3.8</v>
      </c>
      <c r="M27">
        <v>1</v>
      </c>
      <c r="N27">
        <v>0.2</v>
      </c>
      <c r="O27">
        <v>2.2999999999999998</v>
      </c>
      <c r="P27">
        <v>3.6</v>
      </c>
      <c r="Q27">
        <v>3.7</v>
      </c>
      <c r="R27">
        <v>3.7</v>
      </c>
      <c r="S27">
        <v>0.8</v>
      </c>
      <c r="T27">
        <v>1.4</v>
      </c>
      <c r="U27">
        <v>8.5</v>
      </c>
    </row>
    <row r="28" spans="1:21" x14ac:dyDescent="0.2">
      <c r="A28" t="s">
        <v>206</v>
      </c>
      <c r="B28" t="s">
        <v>237</v>
      </c>
      <c r="C28">
        <v>4</v>
      </c>
      <c r="D28">
        <v>11.5</v>
      </c>
      <c r="E28">
        <v>0</v>
      </c>
      <c r="F28">
        <v>0.7</v>
      </c>
      <c r="G28">
        <v>0.9</v>
      </c>
      <c r="H28">
        <v>20.399999999999999</v>
      </c>
      <c r="I28">
        <v>0.4</v>
      </c>
      <c r="J28">
        <v>0</v>
      </c>
      <c r="K28">
        <v>4.5</v>
      </c>
      <c r="L28">
        <v>3.3</v>
      </c>
      <c r="M28">
        <v>0.5</v>
      </c>
      <c r="N28">
        <v>0.3</v>
      </c>
      <c r="O28">
        <v>2.6</v>
      </c>
      <c r="P28">
        <v>3.8</v>
      </c>
      <c r="Q28">
        <v>3.6</v>
      </c>
      <c r="R28">
        <v>3.7</v>
      </c>
      <c r="S28">
        <v>0.5</v>
      </c>
      <c r="T28">
        <v>1.6</v>
      </c>
      <c r="U28">
        <v>7.1</v>
      </c>
    </row>
    <row r="29" spans="1:21" x14ac:dyDescent="0.2">
      <c r="A29" t="s">
        <v>217</v>
      </c>
      <c r="B29" t="s">
        <v>238</v>
      </c>
      <c r="C29">
        <v>4</v>
      </c>
      <c r="D29">
        <v>26.4</v>
      </c>
      <c r="E29">
        <v>0</v>
      </c>
      <c r="F29">
        <v>1.2</v>
      </c>
      <c r="G29">
        <v>1.7</v>
      </c>
      <c r="H29">
        <v>36.6</v>
      </c>
      <c r="I29">
        <v>1</v>
      </c>
      <c r="J29">
        <v>0</v>
      </c>
      <c r="K29">
        <v>28.9</v>
      </c>
      <c r="L29">
        <v>4.3</v>
      </c>
      <c r="M29">
        <v>0.1</v>
      </c>
      <c r="N29">
        <v>0.9</v>
      </c>
      <c r="O29">
        <v>5.5</v>
      </c>
      <c r="P29">
        <v>3.1</v>
      </c>
      <c r="Q29">
        <v>4.3</v>
      </c>
      <c r="R29">
        <v>8.9</v>
      </c>
      <c r="S29">
        <v>0.5</v>
      </c>
      <c r="T29">
        <v>2.6</v>
      </c>
      <c r="U29">
        <v>215.4</v>
      </c>
    </row>
    <row r="30" spans="1:21" x14ac:dyDescent="0.2">
      <c r="A30" t="s">
        <v>214</v>
      </c>
      <c r="B30" t="s">
        <v>239</v>
      </c>
      <c r="C30">
        <v>4</v>
      </c>
      <c r="D30">
        <v>11.8</v>
      </c>
      <c r="E30">
        <v>0</v>
      </c>
      <c r="F30">
        <v>0.7</v>
      </c>
      <c r="G30">
        <v>0.8</v>
      </c>
      <c r="H30">
        <v>15.2</v>
      </c>
      <c r="I30">
        <v>0.7</v>
      </c>
      <c r="J30">
        <v>0</v>
      </c>
      <c r="K30">
        <v>5.3</v>
      </c>
      <c r="L30">
        <v>4.3</v>
      </c>
      <c r="M30">
        <v>0.4</v>
      </c>
      <c r="N30">
        <v>0.1</v>
      </c>
      <c r="O30">
        <v>2.8</v>
      </c>
      <c r="P30">
        <v>3</v>
      </c>
      <c r="Q30">
        <v>3</v>
      </c>
      <c r="R30">
        <v>3.4</v>
      </c>
      <c r="S30">
        <v>0.7</v>
      </c>
      <c r="T30">
        <v>1.6</v>
      </c>
      <c r="U30">
        <v>13.8</v>
      </c>
    </row>
    <row r="31" spans="1:21" x14ac:dyDescent="0.2">
      <c r="A31" t="s">
        <v>211</v>
      </c>
      <c r="B31" t="s">
        <v>240</v>
      </c>
      <c r="C31">
        <v>4</v>
      </c>
      <c r="D31">
        <v>15.8</v>
      </c>
      <c r="E31">
        <v>0</v>
      </c>
      <c r="F31">
        <v>1.2</v>
      </c>
      <c r="G31">
        <v>2</v>
      </c>
      <c r="H31">
        <v>32.6</v>
      </c>
      <c r="I31">
        <v>0.7</v>
      </c>
      <c r="J31">
        <v>0</v>
      </c>
      <c r="K31">
        <v>56.2</v>
      </c>
      <c r="L31">
        <v>2.5</v>
      </c>
      <c r="M31">
        <v>0</v>
      </c>
      <c r="N31">
        <v>0.2</v>
      </c>
      <c r="O31">
        <v>6.6</v>
      </c>
      <c r="P31">
        <v>2.2000000000000002</v>
      </c>
      <c r="Q31">
        <v>4.5</v>
      </c>
      <c r="R31">
        <v>8.4</v>
      </c>
      <c r="S31">
        <v>0.5</v>
      </c>
      <c r="T31">
        <v>2.4</v>
      </c>
      <c r="U31">
        <v>268.60000000000002</v>
      </c>
    </row>
    <row r="32" spans="1:21" x14ac:dyDescent="0.2">
      <c r="A32" t="s">
        <v>208</v>
      </c>
      <c r="B32" t="s">
        <v>241</v>
      </c>
      <c r="C32">
        <v>4</v>
      </c>
      <c r="D32">
        <v>14.7</v>
      </c>
      <c r="E32">
        <v>0</v>
      </c>
      <c r="F32">
        <v>1.5</v>
      </c>
      <c r="G32">
        <v>2.1</v>
      </c>
      <c r="H32">
        <v>33.4</v>
      </c>
      <c r="I32">
        <v>0.8</v>
      </c>
      <c r="J32">
        <v>0</v>
      </c>
      <c r="K32">
        <v>12.4</v>
      </c>
      <c r="L32">
        <v>5.8</v>
      </c>
      <c r="M32">
        <v>0.2</v>
      </c>
      <c r="N32">
        <v>0.2</v>
      </c>
      <c r="O32">
        <v>3.6</v>
      </c>
      <c r="P32">
        <v>2.5</v>
      </c>
      <c r="Q32">
        <v>4.4000000000000004</v>
      </c>
      <c r="R32">
        <v>6.3</v>
      </c>
      <c r="S32">
        <v>0.7</v>
      </c>
      <c r="T32">
        <v>1.6</v>
      </c>
      <c r="U32">
        <v>153.1</v>
      </c>
    </row>
    <row r="33" spans="1:21" x14ac:dyDescent="0.2">
      <c r="A33" t="s">
        <v>212</v>
      </c>
      <c r="B33" t="s">
        <v>242</v>
      </c>
      <c r="C33">
        <v>4</v>
      </c>
      <c r="D33">
        <v>13.1</v>
      </c>
      <c r="E33">
        <v>0</v>
      </c>
      <c r="F33">
        <v>2.1</v>
      </c>
      <c r="G33">
        <v>3.7</v>
      </c>
      <c r="H33">
        <v>45.8</v>
      </c>
      <c r="I33">
        <v>0.5</v>
      </c>
      <c r="J33">
        <v>0</v>
      </c>
      <c r="K33">
        <v>25.8</v>
      </c>
      <c r="L33">
        <v>4.5</v>
      </c>
      <c r="M33">
        <v>0.4</v>
      </c>
      <c r="N33">
        <v>0.2</v>
      </c>
      <c r="O33">
        <v>2.7</v>
      </c>
      <c r="P33">
        <v>2.1</v>
      </c>
      <c r="Q33">
        <v>4.2</v>
      </c>
      <c r="R33">
        <v>8.3000000000000007</v>
      </c>
      <c r="S33">
        <v>0.6</v>
      </c>
      <c r="T33">
        <v>1.7</v>
      </c>
      <c r="U33">
        <v>156.19999999999999</v>
      </c>
    </row>
    <row r="34" spans="1:21" x14ac:dyDescent="0.2">
      <c r="A34" t="s">
        <v>213</v>
      </c>
      <c r="B34" t="s">
        <v>243</v>
      </c>
      <c r="C34">
        <v>4</v>
      </c>
      <c r="D34">
        <v>12.4</v>
      </c>
      <c r="E34">
        <v>0</v>
      </c>
      <c r="F34">
        <v>0.8</v>
      </c>
      <c r="G34">
        <v>0.8</v>
      </c>
      <c r="H34">
        <v>16.399999999999999</v>
      </c>
      <c r="I34">
        <v>0.5</v>
      </c>
      <c r="J34">
        <v>0</v>
      </c>
      <c r="K34">
        <v>4.3</v>
      </c>
      <c r="L34">
        <v>3.8</v>
      </c>
      <c r="M34">
        <v>0.1</v>
      </c>
      <c r="N34">
        <v>0.2</v>
      </c>
      <c r="O34">
        <v>3.6</v>
      </c>
      <c r="P34">
        <v>3.6</v>
      </c>
      <c r="Q34">
        <v>3.7</v>
      </c>
      <c r="R34">
        <v>3.6</v>
      </c>
      <c r="S34">
        <v>0.6</v>
      </c>
      <c r="T34">
        <v>1.8</v>
      </c>
      <c r="U34">
        <v>9.3000000000000007</v>
      </c>
    </row>
    <row r="35" spans="1:21" x14ac:dyDescent="0.2">
      <c r="A35" t="s">
        <v>210</v>
      </c>
      <c r="B35" t="s">
        <v>244</v>
      </c>
      <c r="C35">
        <v>4</v>
      </c>
      <c r="D35">
        <v>24.4</v>
      </c>
      <c r="E35">
        <v>0</v>
      </c>
      <c r="F35">
        <v>1</v>
      </c>
      <c r="G35">
        <v>1.6</v>
      </c>
      <c r="H35">
        <v>29.3</v>
      </c>
      <c r="I35">
        <v>0.3</v>
      </c>
      <c r="J35">
        <v>0</v>
      </c>
      <c r="K35">
        <v>31.1</v>
      </c>
      <c r="L35">
        <v>4.7</v>
      </c>
      <c r="M35">
        <v>0</v>
      </c>
      <c r="N35">
        <v>0.7</v>
      </c>
      <c r="O35">
        <v>9.8000000000000007</v>
      </c>
      <c r="P35">
        <v>3.3</v>
      </c>
      <c r="Q35">
        <v>3.6</v>
      </c>
      <c r="R35">
        <v>7.9</v>
      </c>
      <c r="S35">
        <v>0.5</v>
      </c>
      <c r="T35">
        <v>2.7</v>
      </c>
      <c r="U35">
        <v>221.2</v>
      </c>
    </row>
    <row r="36" spans="1:21" x14ac:dyDescent="0.2">
      <c r="A36" t="s">
        <v>207</v>
      </c>
      <c r="B36" t="s">
        <v>245</v>
      </c>
      <c r="C36">
        <v>4</v>
      </c>
      <c r="D36">
        <v>12.5</v>
      </c>
      <c r="E36">
        <v>0</v>
      </c>
      <c r="F36">
        <v>1</v>
      </c>
      <c r="G36">
        <v>0.7</v>
      </c>
      <c r="H36">
        <v>15.1</v>
      </c>
      <c r="I36">
        <v>0.6</v>
      </c>
      <c r="J36">
        <v>0</v>
      </c>
      <c r="K36">
        <v>4.4000000000000004</v>
      </c>
      <c r="L36">
        <v>3.7</v>
      </c>
      <c r="M36">
        <v>0.2</v>
      </c>
      <c r="N36">
        <v>0.2</v>
      </c>
      <c r="O36">
        <v>3</v>
      </c>
      <c r="P36">
        <v>3.5</v>
      </c>
      <c r="Q36">
        <v>3.3</v>
      </c>
      <c r="R36">
        <v>3.6</v>
      </c>
      <c r="S36">
        <v>0.7</v>
      </c>
      <c r="T36">
        <v>2</v>
      </c>
      <c r="U36">
        <v>8.1999999999999993</v>
      </c>
    </row>
    <row r="37" spans="1:21" x14ac:dyDescent="0.2">
      <c r="A37" t="s">
        <v>204</v>
      </c>
      <c r="B37" t="s">
        <v>246</v>
      </c>
      <c r="C37">
        <v>4</v>
      </c>
      <c r="D37">
        <v>17.3</v>
      </c>
      <c r="E37">
        <v>0</v>
      </c>
      <c r="F37">
        <v>1.6</v>
      </c>
      <c r="G37">
        <v>2.7</v>
      </c>
      <c r="H37">
        <v>48.7</v>
      </c>
      <c r="I37">
        <v>0.6</v>
      </c>
      <c r="J37">
        <v>0</v>
      </c>
      <c r="K37">
        <v>41.6</v>
      </c>
      <c r="L37">
        <v>1</v>
      </c>
      <c r="M37">
        <v>0.1</v>
      </c>
      <c r="N37">
        <v>6.3</v>
      </c>
      <c r="O37">
        <v>4.8</v>
      </c>
      <c r="P37">
        <v>4.0999999999999996</v>
      </c>
      <c r="Q37">
        <v>5.3</v>
      </c>
      <c r="R37">
        <v>11.9</v>
      </c>
      <c r="S37">
        <v>0.4</v>
      </c>
      <c r="T37">
        <v>2.5</v>
      </c>
      <c r="U37">
        <v>253.9</v>
      </c>
    </row>
    <row r="38" spans="1:21" x14ac:dyDescent="0.2">
      <c r="A38" t="s">
        <v>215</v>
      </c>
      <c r="B38" t="s">
        <v>267</v>
      </c>
      <c r="C38">
        <v>8</v>
      </c>
      <c r="D38">
        <v>15.9</v>
      </c>
      <c r="E38">
        <v>0</v>
      </c>
      <c r="F38">
        <v>0.7</v>
      </c>
      <c r="G38">
        <v>0.6</v>
      </c>
      <c r="H38">
        <v>16.2</v>
      </c>
      <c r="I38">
        <v>0.1</v>
      </c>
      <c r="J38">
        <v>0</v>
      </c>
      <c r="K38">
        <v>10.7</v>
      </c>
      <c r="L38">
        <v>3.7</v>
      </c>
      <c r="M38">
        <v>0</v>
      </c>
      <c r="N38">
        <v>0.1</v>
      </c>
      <c r="O38">
        <v>11</v>
      </c>
      <c r="P38">
        <v>2.2000000000000002</v>
      </c>
      <c r="Q38">
        <v>1.8</v>
      </c>
      <c r="R38">
        <v>3.9</v>
      </c>
      <c r="S38">
        <v>0.5</v>
      </c>
      <c r="T38">
        <v>3.1</v>
      </c>
      <c r="U38">
        <v>59.1</v>
      </c>
    </row>
    <row r="39" spans="1:21" x14ac:dyDescent="0.2">
      <c r="A39" t="s">
        <v>209</v>
      </c>
      <c r="B39" t="s">
        <v>267</v>
      </c>
      <c r="C39">
        <v>4</v>
      </c>
      <c r="D39">
        <v>16.399999999999999</v>
      </c>
      <c r="E39">
        <v>0</v>
      </c>
      <c r="F39">
        <v>1.3</v>
      </c>
      <c r="G39">
        <v>3.2</v>
      </c>
      <c r="H39">
        <v>54.5</v>
      </c>
      <c r="I39">
        <v>0.7</v>
      </c>
      <c r="J39">
        <v>0</v>
      </c>
      <c r="K39">
        <v>36.799999999999997</v>
      </c>
      <c r="L39">
        <v>7.4</v>
      </c>
      <c r="M39">
        <v>0.3</v>
      </c>
      <c r="N39">
        <v>0.9</v>
      </c>
      <c r="O39">
        <v>11.2</v>
      </c>
      <c r="P39">
        <v>3.9</v>
      </c>
      <c r="Q39">
        <v>5.8</v>
      </c>
      <c r="R39">
        <v>7.3</v>
      </c>
      <c r="S39">
        <v>0.6</v>
      </c>
      <c r="T39">
        <v>4</v>
      </c>
      <c r="U39">
        <v>281.60000000000002</v>
      </c>
    </row>
    <row r="40" spans="1:21" x14ac:dyDescent="0.2">
      <c r="A40" t="s">
        <v>205</v>
      </c>
      <c r="B40" t="s">
        <v>268</v>
      </c>
      <c r="C40">
        <v>4</v>
      </c>
      <c r="D40">
        <v>13.5</v>
      </c>
      <c r="E40">
        <v>0</v>
      </c>
      <c r="F40">
        <v>2.6</v>
      </c>
      <c r="G40">
        <v>2.1</v>
      </c>
      <c r="H40">
        <v>19</v>
      </c>
      <c r="I40">
        <v>1.3</v>
      </c>
      <c r="J40">
        <v>0</v>
      </c>
      <c r="K40">
        <v>4.8</v>
      </c>
      <c r="L40">
        <v>4.3</v>
      </c>
      <c r="M40">
        <v>0.3</v>
      </c>
      <c r="N40">
        <v>0.2</v>
      </c>
      <c r="O40">
        <v>5.4</v>
      </c>
      <c r="P40">
        <v>2.5</v>
      </c>
      <c r="Q40">
        <v>2.6</v>
      </c>
      <c r="R40">
        <v>7.4</v>
      </c>
      <c r="S40">
        <v>0.9</v>
      </c>
      <c r="T40">
        <v>3</v>
      </c>
      <c r="U40">
        <v>8.3000000000000007</v>
      </c>
    </row>
    <row r="41" spans="1:21" x14ac:dyDescent="0.2">
      <c r="A41" t="s">
        <v>216</v>
      </c>
      <c r="B41" t="s">
        <v>269</v>
      </c>
      <c r="C41">
        <v>4</v>
      </c>
      <c r="D41">
        <v>11.4</v>
      </c>
      <c r="E41">
        <v>0</v>
      </c>
      <c r="F41">
        <v>2.2000000000000002</v>
      </c>
      <c r="G41">
        <v>2</v>
      </c>
      <c r="H41">
        <v>19</v>
      </c>
      <c r="I41">
        <v>1.9</v>
      </c>
      <c r="J41">
        <v>0</v>
      </c>
      <c r="K41">
        <v>5.0999999999999996</v>
      </c>
      <c r="L41">
        <v>3.9</v>
      </c>
      <c r="M41">
        <v>0.8</v>
      </c>
      <c r="N41">
        <v>0.1</v>
      </c>
      <c r="O41">
        <v>3.6</v>
      </c>
      <c r="P41">
        <v>2.1</v>
      </c>
      <c r="Q41">
        <v>3.5</v>
      </c>
      <c r="R41">
        <v>6.7</v>
      </c>
      <c r="S41">
        <v>1</v>
      </c>
      <c r="T41">
        <v>2.5</v>
      </c>
      <c r="U41">
        <v>7.3</v>
      </c>
    </row>
  </sheetData>
  <sortState xmlns:xlrd2="http://schemas.microsoft.com/office/spreadsheetml/2017/richdata2" ref="P7:Q21">
    <sortCondition ref="Q7:Q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C4CE-A988-6A47-851C-1EE9C8AB1B27}">
  <sheetPr filterMode="1"/>
  <dimension ref="A1:F107"/>
  <sheetViews>
    <sheetView workbookViewId="0">
      <selection activeCell="D6" sqref="D6"/>
    </sheetView>
  </sheetViews>
  <sheetFormatPr baseColWidth="10" defaultRowHeight="16" x14ac:dyDescent="0.2"/>
  <sheetData>
    <row r="1" spans="1:6" x14ac:dyDescent="0.2">
      <c r="A1" t="s">
        <v>77</v>
      </c>
      <c r="B1" t="s">
        <v>75</v>
      </c>
      <c r="C1" t="s">
        <v>74</v>
      </c>
      <c r="D1" t="s">
        <v>184</v>
      </c>
      <c r="E1" t="s">
        <v>76</v>
      </c>
      <c r="F1" t="s">
        <v>219</v>
      </c>
    </row>
    <row r="2" spans="1:6" hidden="1" x14ac:dyDescent="0.2">
      <c r="A2" t="s">
        <v>78</v>
      </c>
      <c r="B2" s="1" t="s">
        <v>185</v>
      </c>
      <c r="C2" s="1" t="s">
        <v>186</v>
      </c>
      <c r="D2" t="s">
        <v>203</v>
      </c>
      <c r="E2" t="s">
        <v>218</v>
      </c>
      <c r="F2" t="s">
        <v>221</v>
      </c>
    </row>
    <row r="3" spans="1:6" hidden="1" x14ac:dyDescent="0.2">
      <c r="A3" t="s">
        <v>79</v>
      </c>
      <c r="B3" s="1" t="s">
        <v>185</v>
      </c>
      <c r="C3" s="1" t="s">
        <v>187</v>
      </c>
      <c r="D3" t="s">
        <v>204</v>
      </c>
      <c r="E3" t="s">
        <v>218</v>
      </c>
      <c r="F3" t="s">
        <v>220</v>
      </c>
    </row>
    <row r="4" spans="1:6" hidden="1" x14ac:dyDescent="0.2">
      <c r="A4" t="s">
        <v>80</v>
      </c>
      <c r="B4" s="1" t="s">
        <v>185</v>
      </c>
      <c r="C4" s="1" t="s">
        <v>186</v>
      </c>
      <c r="D4" t="s">
        <v>203</v>
      </c>
      <c r="E4" t="s">
        <v>218</v>
      </c>
      <c r="F4" t="s">
        <v>221</v>
      </c>
    </row>
    <row r="5" spans="1:6" hidden="1" x14ac:dyDescent="0.2">
      <c r="A5" t="s">
        <v>81</v>
      </c>
      <c r="B5" s="1" t="s">
        <v>185</v>
      </c>
      <c r="C5" s="1" t="s">
        <v>187</v>
      </c>
      <c r="D5" t="s">
        <v>204</v>
      </c>
      <c r="E5" t="s">
        <v>218</v>
      </c>
      <c r="F5" t="s">
        <v>220</v>
      </c>
    </row>
    <row r="6" spans="1:6" x14ac:dyDescent="0.2">
      <c r="A6" t="s">
        <v>82</v>
      </c>
      <c r="B6" s="1" t="s">
        <v>185</v>
      </c>
      <c r="C6" s="1" t="s">
        <v>188</v>
      </c>
      <c r="D6" t="s">
        <v>205</v>
      </c>
      <c r="E6" t="s">
        <v>218</v>
      </c>
    </row>
    <row r="7" spans="1:6" x14ac:dyDescent="0.2">
      <c r="A7" t="s">
        <v>83</v>
      </c>
      <c r="B7" s="1" t="s">
        <v>185</v>
      </c>
      <c r="C7" s="1" t="s">
        <v>188</v>
      </c>
      <c r="D7" t="s">
        <v>205</v>
      </c>
      <c r="E7" t="s">
        <v>218</v>
      </c>
    </row>
    <row r="8" spans="1:6" x14ac:dyDescent="0.2">
      <c r="A8" t="s">
        <v>84</v>
      </c>
      <c r="B8" s="1" t="s">
        <v>185</v>
      </c>
      <c r="C8" s="1" t="s">
        <v>188</v>
      </c>
      <c r="D8" t="s">
        <v>205</v>
      </c>
      <c r="E8" t="s">
        <v>218</v>
      </c>
    </row>
    <row r="9" spans="1:6" x14ac:dyDescent="0.2">
      <c r="A9" t="s">
        <v>85</v>
      </c>
      <c r="B9" s="1" t="s">
        <v>185</v>
      </c>
      <c r="C9" s="1" t="s">
        <v>188</v>
      </c>
      <c r="D9" t="s">
        <v>205</v>
      </c>
      <c r="E9" t="s">
        <v>218</v>
      </c>
    </row>
    <row r="10" spans="1:6" hidden="1" x14ac:dyDescent="0.2">
      <c r="A10" t="s">
        <v>86</v>
      </c>
      <c r="B10" s="1" t="s">
        <v>185</v>
      </c>
      <c r="C10" s="1" t="s">
        <v>186</v>
      </c>
      <c r="D10" t="s">
        <v>203</v>
      </c>
      <c r="E10" t="s">
        <v>218</v>
      </c>
    </row>
    <row r="11" spans="1:6" hidden="1" x14ac:dyDescent="0.2">
      <c r="A11" t="s">
        <v>87</v>
      </c>
      <c r="B11" s="1" t="s">
        <v>185</v>
      </c>
      <c r="C11" s="1" t="s">
        <v>186</v>
      </c>
      <c r="D11" t="s">
        <v>203</v>
      </c>
      <c r="E11" t="s">
        <v>218</v>
      </c>
    </row>
    <row r="12" spans="1:6" hidden="1" x14ac:dyDescent="0.2">
      <c r="A12" t="s">
        <v>88</v>
      </c>
      <c r="B12" s="1" t="s">
        <v>185</v>
      </c>
      <c r="C12" s="1" t="s">
        <v>189</v>
      </c>
      <c r="D12" t="s">
        <v>206</v>
      </c>
      <c r="E12" t="s">
        <v>218</v>
      </c>
    </row>
    <row r="13" spans="1:6" hidden="1" x14ac:dyDescent="0.2">
      <c r="A13" t="s">
        <v>89</v>
      </c>
      <c r="B13" s="1" t="s">
        <v>185</v>
      </c>
      <c r="C13" s="1" t="s">
        <v>189</v>
      </c>
      <c r="D13" t="s">
        <v>206</v>
      </c>
      <c r="E13" t="s">
        <v>218</v>
      </c>
    </row>
    <row r="14" spans="1:6" hidden="1" x14ac:dyDescent="0.2">
      <c r="A14" t="s">
        <v>90</v>
      </c>
      <c r="B14" s="1" t="s">
        <v>185</v>
      </c>
      <c r="C14" s="1" t="s">
        <v>190</v>
      </c>
      <c r="D14" t="s">
        <v>207</v>
      </c>
      <c r="E14" t="s">
        <v>218</v>
      </c>
    </row>
    <row r="15" spans="1:6" hidden="1" x14ac:dyDescent="0.2">
      <c r="A15" t="s">
        <v>91</v>
      </c>
      <c r="B15" s="1" t="s">
        <v>185</v>
      </c>
      <c r="C15" s="1" t="s">
        <v>190</v>
      </c>
      <c r="D15" t="s">
        <v>207</v>
      </c>
      <c r="E15" t="s">
        <v>218</v>
      </c>
    </row>
    <row r="16" spans="1:6" hidden="1" x14ac:dyDescent="0.2">
      <c r="A16" t="s">
        <v>92</v>
      </c>
      <c r="B16" s="1" t="s">
        <v>185</v>
      </c>
      <c r="C16" s="1" t="s">
        <v>191</v>
      </c>
      <c r="D16" t="s">
        <v>208</v>
      </c>
      <c r="E16" t="s">
        <v>218</v>
      </c>
    </row>
    <row r="17" spans="1:5" hidden="1" x14ac:dyDescent="0.2">
      <c r="A17" t="s">
        <v>93</v>
      </c>
      <c r="B17" s="1" t="s">
        <v>185</v>
      </c>
      <c r="C17" s="1" t="s">
        <v>191</v>
      </c>
      <c r="D17" t="s">
        <v>208</v>
      </c>
      <c r="E17" t="s">
        <v>218</v>
      </c>
    </row>
    <row r="18" spans="1:5" hidden="1" x14ac:dyDescent="0.2">
      <c r="A18" t="s">
        <v>94</v>
      </c>
      <c r="B18" s="1" t="s">
        <v>185</v>
      </c>
      <c r="C18" s="1" t="s">
        <v>186</v>
      </c>
      <c r="D18" t="s">
        <v>203</v>
      </c>
      <c r="E18" t="s">
        <v>218</v>
      </c>
    </row>
    <row r="19" spans="1:5" hidden="1" x14ac:dyDescent="0.2">
      <c r="A19" t="s">
        <v>95</v>
      </c>
      <c r="B19" s="1" t="s">
        <v>185</v>
      </c>
      <c r="C19" s="1" t="s">
        <v>186</v>
      </c>
      <c r="D19" t="s">
        <v>203</v>
      </c>
      <c r="E19" t="s">
        <v>218</v>
      </c>
    </row>
    <row r="20" spans="1:5" hidden="1" x14ac:dyDescent="0.2">
      <c r="A20" t="s">
        <v>96</v>
      </c>
      <c r="B20" s="1" t="s">
        <v>185</v>
      </c>
      <c r="C20" s="1" t="s">
        <v>192</v>
      </c>
      <c r="D20" t="s">
        <v>207</v>
      </c>
      <c r="E20" t="s">
        <v>218</v>
      </c>
    </row>
    <row r="21" spans="1:5" hidden="1" x14ac:dyDescent="0.2">
      <c r="A21" t="s">
        <v>97</v>
      </c>
      <c r="B21" s="1" t="s">
        <v>185</v>
      </c>
      <c r="C21" s="1" t="s">
        <v>187</v>
      </c>
      <c r="D21" t="s">
        <v>204</v>
      </c>
      <c r="E21" t="s">
        <v>218</v>
      </c>
    </row>
    <row r="22" spans="1:5" hidden="1" x14ac:dyDescent="0.2">
      <c r="A22" t="s">
        <v>98</v>
      </c>
      <c r="B22" s="1" t="s">
        <v>185</v>
      </c>
      <c r="C22" s="1" t="s">
        <v>186</v>
      </c>
      <c r="D22" t="s">
        <v>203</v>
      </c>
      <c r="E22" t="s">
        <v>218</v>
      </c>
    </row>
    <row r="23" spans="1:5" hidden="1" x14ac:dyDescent="0.2">
      <c r="A23" t="s">
        <v>99</v>
      </c>
      <c r="B23" s="1" t="s">
        <v>185</v>
      </c>
      <c r="C23" s="1" t="s">
        <v>186</v>
      </c>
      <c r="D23" t="s">
        <v>203</v>
      </c>
      <c r="E23" t="s">
        <v>218</v>
      </c>
    </row>
    <row r="24" spans="1:5" hidden="1" x14ac:dyDescent="0.2">
      <c r="A24" t="s">
        <v>100</v>
      </c>
      <c r="B24" s="1" t="s">
        <v>185</v>
      </c>
      <c r="C24" s="1" t="s">
        <v>189</v>
      </c>
      <c r="D24" t="s">
        <v>206</v>
      </c>
      <c r="E24" t="s">
        <v>218</v>
      </c>
    </row>
    <row r="25" spans="1:5" hidden="1" x14ac:dyDescent="0.2">
      <c r="A25" t="s">
        <v>101</v>
      </c>
      <c r="B25" s="1" t="s">
        <v>185</v>
      </c>
      <c r="C25" s="1" t="s">
        <v>186</v>
      </c>
      <c r="D25" t="s">
        <v>203</v>
      </c>
      <c r="E25" t="s">
        <v>218</v>
      </c>
    </row>
    <row r="26" spans="1:5" hidden="1" x14ac:dyDescent="0.2">
      <c r="A26" t="s">
        <v>102</v>
      </c>
      <c r="B26" s="1" t="s">
        <v>185</v>
      </c>
      <c r="C26" s="1" t="s">
        <v>186</v>
      </c>
      <c r="D26" t="s">
        <v>203</v>
      </c>
      <c r="E26" t="s">
        <v>218</v>
      </c>
    </row>
    <row r="27" spans="1:5" hidden="1" x14ac:dyDescent="0.2">
      <c r="A27" t="s">
        <v>103</v>
      </c>
      <c r="B27" s="1" t="s">
        <v>185</v>
      </c>
      <c r="C27" s="1" t="s">
        <v>189</v>
      </c>
      <c r="D27" t="s">
        <v>206</v>
      </c>
      <c r="E27" t="s">
        <v>218</v>
      </c>
    </row>
    <row r="28" spans="1:5" hidden="1" x14ac:dyDescent="0.2">
      <c r="A28" t="s">
        <v>104</v>
      </c>
      <c r="B28" s="1" t="s">
        <v>185</v>
      </c>
      <c r="C28" s="1" t="s">
        <v>186</v>
      </c>
      <c r="D28" t="s">
        <v>203</v>
      </c>
      <c r="E28" t="s">
        <v>218</v>
      </c>
    </row>
    <row r="29" spans="1:5" hidden="1" x14ac:dyDescent="0.2">
      <c r="A29" t="s">
        <v>105</v>
      </c>
      <c r="B29" s="1" t="s">
        <v>185</v>
      </c>
      <c r="C29" s="1" t="s">
        <v>186</v>
      </c>
      <c r="D29" t="s">
        <v>203</v>
      </c>
      <c r="E29" t="s">
        <v>218</v>
      </c>
    </row>
    <row r="30" spans="1:5" hidden="1" x14ac:dyDescent="0.2">
      <c r="A30" t="s">
        <v>106</v>
      </c>
      <c r="B30" s="1" t="s">
        <v>185</v>
      </c>
      <c r="C30" s="1" t="s">
        <v>193</v>
      </c>
      <c r="D30" t="s">
        <v>203</v>
      </c>
      <c r="E30" t="s">
        <v>218</v>
      </c>
    </row>
    <row r="31" spans="1:5" hidden="1" x14ac:dyDescent="0.2">
      <c r="A31" t="s">
        <v>107</v>
      </c>
      <c r="B31" s="1" t="s">
        <v>185</v>
      </c>
      <c r="C31" s="1" t="s">
        <v>194</v>
      </c>
      <c r="D31" t="s">
        <v>209</v>
      </c>
      <c r="E31" t="s">
        <v>218</v>
      </c>
    </row>
    <row r="32" spans="1:5" hidden="1" x14ac:dyDescent="0.2">
      <c r="A32" t="s">
        <v>108</v>
      </c>
      <c r="B32" s="1" t="s">
        <v>185</v>
      </c>
      <c r="C32" s="1" t="s">
        <v>186</v>
      </c>
      <c r="D32" t="s">
        <v>203</v>
      </c>
      <c r="E32" t="s">
        <v>218</v>
      </c>
    </row>
    <row r="33" spans="1:5" hidden="1" x14ac:dyDescent="0.2">
      <c r="A33" t="s">
        <v>109</v>
      </c>
      <c r="B33" s="1" t="s">
        <v>185</v>
      </c>
      <c r="C33" s="1" t="s">
        <v>193</v>
      </c>
      <c r="D33" t="s">
        <v>203</v>
      </c>
      <c r="E33" t="s">
        <v>218</v>
      </c>
    </row>
    <row r="34" spans="1:5" hidden="1" x14ac:dyDescent="0.2">
      <c r="A34" t="s">
        <v>110</v>
      </c>
      <c r="B34" s="1" t="s">
        <v>185</v>
      </c>
      <c r="C34" s="1" t="s">
        <v>186</v>
      </c>
      <c r="D34" t="s">
        <v>203</v>
      </c>
      <c r="E34" t="s">
        <v>218</v>
      </c>
    </row>
    <row r="35" spans="1:5" hidden="1" x14ac:dyDescent="0.2">
      <c r="A35" t="s">
        <v>111</v>
      </c>
      <c r="B35" s="1" t="s">
        <v>185</v>
      </c>
      <c r="C35" s="1" t="s">
        <v>193</v>
      </c>
      <c r="D35" t="s">
        <v>203</v>
      </c>
      <c r="E35" t="s">
        <v>218</v>
      </c>
    </row>
    <row r="36" spans="1:5" hidden="1" x14ac:dyDescent="0.2">
      <c r="A36" t="s">
        <v>112</v>
      </c>
      <c r="B36" s="1" t="s">
        <v>185</v>
      </c>
      <c r="C36" s="1" t="s">
        <v>192</v>
      </c>
      <c r="D36" t="s">
        <v>210</v>
      </c>
      <c r="E36" t="s">
        <v>218</v>
      </c>
    </row>
    <row r="37" spans="1:5" hidden="1" x14ac:dyDescent="0.2">
      <c r="A37" t="s">
        <v>113</v>
      </c>
      <c r="B37" s="1" t="s">
        <v>185</v>
      </c>
      <c r="C37" s="1" t="s">
        <v>194</v>
      </c>
      <c r="D37" t="s">
        <v>209</v>
      </c>
      <c r="E37" t="s">
        <v>218</v>
      </c>
    </row>
    <row r="38" spans="1:5" hidden="1" x14ac:dyDescent="0.2">
      <c r="A38" t="s">
        <v>114</v>
      </c>
      <c r="B38" s="1" t="s">
        <v>185</v>
      </c>
      <c r="C38" s="1" t="s">
        <v>194</v>
      </c>
      <c r="D38" t="s">
        <v>209</v>
      </c>
      <c r="E38" t="s">
        <v>218</v>
      </c>
    </row>
    <row r="39" spans="1:5" hidden="1" x14ac:dyDescent="0.2">
      <c r="A39" t="s">
        <v>115</v>
      </c>
      <c r="B39" s="1" t="s">
        <v>185</v>
      </c>
      <c r="C39" s="1" t="s">
        <v>186</v>
      </c>
      <c r="D39" t="s">
        <v>203</v>
      </c>
      <c r="E39" t="s">
        <v>218</v>
      </c>
    </row>
    <row r="40" spans="1:5" hidden="1" x14ac:dyDescent="0.2">
      <c r="A40" t="s">
        <v>116</v>
      </c>
      <c r="B40" s="1" t="s">
        <v>185</v>
      </c>
      <c r="C40" s="1" t="s">
        <v>192</v>
      </c>
      <c r="D40" t="s">
        <v>210</v>
      </c>
      <c r="E40" t="s">
        <v>218</v>
      </c>
    </row>
    <row r="41" spans="1:5" hidden="1" x14ac:dyDescent="0.2">
      <c r="A41" t="s">
        <v>117</v>
      </c>
      <c r="B41" s="1" t="s">
        <v>185</v>
      </c>
      <c r="C41" s="1" t="s">
        <v>186</v>
      </c>
      <c r="D41" t="s">
        <v>203</v>
      </c>
      <c r="E41" t="s">
        <v>218</v>
      </c>
    </row>
    <row r="42" spans="1:5" hidden="1" x14ac:dyDescent="0.2">
      <c r="A42" t="s">
        <v>118</v>
      </c>
      <c r="B42" s="1" t="s">
        <v>185</v>
      </c>
      <c r="C42" s="1" t="s">
        <v>192</v>
      </c>
      <c r="D42" t="s">
        <v>210</v>
      </c>
      <c r="E42" t="s">
        <v>218</v>
      </c>
    </row>
    <row r="43" spans="1:5" hidden="1" x14ac:dyDescent="0.2">
      <c r="A43" t="s">
        <v>119</v>
      </c>
      <c r="B43" s="1" t="s">
        <v>185</v>
      </c>
      <c r="C43" s="1" t="s">
        <v>186</v>
      </c>
      <c r="D43" t="s">
        <v>203</v>
      </c>
      <c r="E43" t="s">
        <v>218</v>
      </c>
    </row>
    <row r="44" spans="1:5" hidden="1" x14ac:dyDescent="0.2">
      <c r="A44" t="s">
        <v>120</v>
      </c>
      <c r="B44" s="1" t="s">
        <v>185</v>
      </c>
      <c r="C44" s="1" t="s">
        <v>186</v>
      </c>
      <c r="D44" t="s">
        <v>203</v>
      </c>
      <c r="E44" t="s">
        <v>218</v>
      </c>
    </row>
    <row r="45" spans="1:5" hidden="1" x14ac:dyDescent="0.2">
      <c r="A45" t="s">
        <v>121</v>
      </c>
      <c r="B45" s="1" t="s">
        <v>185</v>
      </c>
      <c r="C45" s="1" t="s">
        <v>193</v>
      </c>
      <c r="D45" t="s">
        <v>203</v>
      </c>
      <c r="E45" t="s">
        <v>218</v>
      </c>
    </row>
    <row r="46" spans="1:5" hidden="1" x14ac:dyDescent="0.2">
      <c r="A46" t="s">
        <v>122</v>
      </c>
      <c r="B46" s="1" t="s">
        <v>185</v>
      </c>
      <c r="C46" s="1" t="s">
        <v>192</v>
      </c>
      <c r="D46" t="s">
        <v>210</v>
      </c>
      <c r="E46" t="s">
        <v>218</v>
      </c>
    </row>
    <row r="47" spans="1:5" hidden="1" x14ac:dyDescent="0.2">
      <c r="A47" t="s">
        <v>123</v>
      </c>
      <c r="B47" s="1" t="s">
        <v>185</v>
      </c>
      <c r="C47" s="1" t="s">
        <v>194</v>
      </c>
      <c r="D47" t="s">
        <v>209</v>
      </c>
      <c r="E47" t="s">
        <v>218</v>
      </c>
    </row>
    <row r="48" spans="1:5" hidden="1" x14ac:dyDescent="0.2">
      <c r="A48" t="s">
        <v>124</v>
      </c>
      <c r="B48" s="1" t="s">
        <v>185</v>
      </c>
      <c r="C48" s="1" t="s">
        <v>191</v>
      </c>
      <c r="D48" t="s">
        <v>208</v>
      </c>
      <c r="E48" t="s">
        <v>218</v>
      </c>
    </row>
    <row r="49" spans="1:6" hidden="1" x14ac:dyDescent="0.2">
      <c r="A49" t="s">
        <v>125</v>
      </c>
      <c r="B49" s="1" t="s">
        <v>185</v>
      </c>
      <c r="C49" s="1" t="s">
        <v>193</v>
      </c>
      <c r="D49" t="s">
        <v>203</v>
      </c>
      <c r="E49" t="s">
        <v>218</v>
      </c>
    </row>
    <row r="50" spans="1:6" hidden="1" x14ac:dyDescent="0.2">
      <c r="A50" t="s">
        <v>126</v>
      </c>
      <c r="B50" s="1" t="s">
        <v>185</v>
      </c>
      <c r="C50" s="1" t="s">
        <v>186</v>
      </c>
      <c r="D50" t="s">
        <v>203</v>
      </c>
      <c r="E50" t="s">
        <v>218</v>
      </c>
    </row>
    <row r="51" spans="1:6" hidden="1" x14ac:dyDescent="0.2">
      <c r="A51" t="s">
        <v>127</v>
      </c>
      <c r="B51" s="1" t="s">
        <v>185</v>
      </c>
      <c r="C51" s="1" t="s">
        <v>186</v>
      </c>
      <c r="D51" t="s">
        <v>203</v>
      </c>
      <c r="E51" t="s">
        <v>218</v>
      </c>
    </row>
    <row r="52" spans="1:6" hidden="1" x14ac:dyDescent="0.2">
      <c r="A52" t="s">
        <v>128</v>
      </c>
      <c r="B52" s="1" t="s">
        <v>185</v>
      </c>
      <c r="C52" s="1" t="s">
        <v>186</v>
      </c>
      <c r="D52" t="s">
        <v>203</v>
      </c>
      <c r="E52" t="s">
        <v>218</v>
      </c>
    </row>
    <row r="53" spans="1:6" hidden="1" x14ac:dyDescent="0.2">
      <c r="A53" t="s">
        <v>129</v>
      </c>
      <c r="B53" s="1" t="s">
        <v>185</v>
      </c>
      <c r="C53" s="1" t="s">
        <v>191</v>
      </c>
      <c r="D53" t="s">
        <v>208</v>
      </c>
      <c r="E53" t="s">
        <v>218</v>
      </c>
    </row>
    <row r="54" spans="1:6" hidden="1" x14ac:dyDescent="0.2">
      <c r="A54" t="s">
        <v>130</v>
      </c>
      <c r="B54" s="1" t="s">
        <v>185</v>
      </c>
      <c r="C54" s="1" t="s">
        <v>186</v>
      </c>
      <c r="D54" t="s">
        <v>203</v>
      </c>
      <c r="E54" t="s">
        <v>218</v>
      </c>
    </row>
    <row r="55" spans="1:6" hidden="1" x14ac:dyDescent="0.2">
      <c r="A55" t="s">
        <v>131</v>
      </c>
      <c r="B55" s="1" t="s">
        <v>195</v>
      </c>
      <c r="C55" s="1" t="s">
        <v>196</v>
      </c>
      <c r="D55" t="s">
        <v>211</v>
      </c>
      <c r="E55" t="s">
        <v>218</v>
      </c>
      <c r="F55" t="s">
        <v>220</v>
      </c>
    </row>
    <row r="56" spans="1:6" hidden="1" x14ac:dyDescent="0.2">
      <c r="A56" t="s">
        <v>132</v>
      </c>
      <c r="B56" s="1" t="s">
        <v>195</v>
      </c>
      <c r="C56" s="1" t="s">
        <v>196</v>
      </c>
      <c r="D56" t="s">
        <v>211</v>
      </c>
      <c r="E56" t="s">
        <v>218</v>
      </c>
      <c r="F56" t="s">
        <v>220</v>
      </c>
    </row>
    <row r="57" spans="1:6" hidden="1" x14ac:dyDescent="0.2">
      <c r="A57" t="s">
        <v>133</v>
      </c>
      <c r="B57" s="1" t="s">
        <v>195</v>
      </c>
      <c r="C57" s="1" t="s">
        <v>196</v>
      </c>
      <c r="D57" t="s">
        <v>211</v>
      </c>
      <c r="E57" t="s">
        <v>218</v>
      </c>
      <c r="F57" t="s">
        <v>220</v>
      </c>
    </row>
    <row r="58" spans="1:6" hidden="1" x14ac:dyDescent="0.2">
      <c r="A58" t="s">
        <v>134</v>
      </c>
      <c r="B58" s="1" t="s">
        <v>195</v>
      </c>
      <c r="C58" s="1" t="s">
        <v>197</v>
      </c>
      <c r="D58" t="s">
        <v>212</v>
      </c>
      <c r="E58" t="s">
        <v>218</v>
      </c>
    </row>
    <row r="59" spans="1:6" hidden="1" x14ac:dyDescent="0.2">
      <c r="A59" t="s">
        <v>135</v>
      </c>
      <c r="B59" s="1" t="s">
        <v>195</v>
      </c>
      <c r="C59" s="1" t="s">
        <v>197</v>
      </c>
      <c r="D59" t="s">
        <v>212</v>
      </c>
      <c r="E59" t="s">
        <v>218</v>
      </c>
    </row>
    <row r="60" spans="1:6" hidden="1" x14ac:dyDescent="0.2">
      <c r="A60" t="s">
        <v>136</v>
      </c>
      <c r="B60" s="1" t="s">
        <v>195</v>
      </c>
      <c r="C60" s="1" t="s">
        <v>197</v>
      </c>
      <c r="D60" t="s">
        <v>212</v>
      </c>
      <c r="E60" t="s">
        <v>218</v>
      </c>
    </row>
    <row r="61" spans="1:6" hidden="1" x14ac:dyDescent="0.2">
      <c r="A61" t="s">
        <v>137</v>
      </c>
      <c r="B61" s="1" t="s">
        <v>195</v>
      </c>
      <c r="C61" s="1" t="s">
        <v>186</v>
      </c>
      <c r="D61" t="s">
        <v>203</v>
      </c>
      <c r="E61" t="s">
        <v>218</v>
      </c>
    </row>
    <row r="62" spans="1:6" hidden="1" x14ac:dyDescent="0.2">
      <c r="A62" t="s">
        <v>138</v>
      </c>
      <c r="B62" s="1" t="s">
        <v>195</v>
      </c>
      <c r="C62" s="1" t="s">
        <v>186</v>
      </c>
      <c r="D62" t="s">
        <v>203</v>
      </c>
      <c r="E62" t="s">
        <v>218</v>
      </c>
    </row>
    <row r="63" spans="1:6" hidden="1" x14ac:dyDescent="0.2">
      <c r="A63" t="s">
        <v>139</v>
      </c>
      <c r="B63" s="1" t="s">
        <v>195</v>
      </c>
      <c r="C63" s="1" t="s">
        <v>198</v>
      </c>
      <c r="D63" t="s">
        <v>213</v>
      </c>
      <c r="E63" t="s">
        <v>218</v>
      </c>
    </row>
    <row r="64" spans="1:6" hidden="1" x14ac:dyDescent="0.2">
      <c r="A64" t="s">
        <v>140</v>
      </c>
      <c r="B64" s="1" t="s">
        <v>195</v>
      </c>
      <c r="C64" s="1" t="s">
        <v>198</v>
      </c>
      <c r="D64" t="s">
        <v>213</v>
      </c>
      <c r="E64" t="s">
        <v>218</v>
      </c>
    </row>
    <row r="65" spans="1:5" hidden="1" x14ac:dyDescent="0.2">
      <c r="A65" t="s">
        <v>141</v>
      </c>
      <c r="B65" s="1" t="s">
        <v>195</v>
      </c>
      <c r="C65" s="1" t="s">
        <v>199</v>
      </c>
      <c r="D65" t="s">
        <v>214</v>
      </c>
      <c r="E65" t="s">
        <v>218</v>
      </c>
    </row>
    <row r="66" spans="1:5" hidden="1" x14ac:dyDescent="0.2">
      <c r="A66" t="s">
        <v>142</v>
      </c>
      <c r="B66" s="1" t="s">
        <v>195</v>
      </c>
      <c r="C66" s="1" t="s">
        <v>186</v>
      </c>
      <c r="D66" t="s">
        <v>203</v>
      </c>
      <c r="E66" t="s">
        <v>218</v>
      </c>
    </row>
    <row r="67" spans="1:5" hidden="1" x14ac:dyDescent="0.2">
      <c r="A67" t="s">
        <v>143</v>
      </c>
      <c r="B67" s="1" t="s">
        <v>195</v>
      </c>
      <c r="C67" s="1" t="s">
        <v>186</v>
      </c>
      <c r="D67" t="s">
        <v>203</v>
      </c>
      <c r="E67" t="s">
        <v>218</v>
      </c>
    </row>
    <row r="68" spans="1:5" hidden="1" x14ac:dyDescent="0.2">
      <c r="A68" t="s">
        <v>144</v>
      </c>
      <c r="B68" s="1" t="s">
        <v>195</v>
      </c>
      <c r="C68" s="1" t="s">
        <v>186</v>
      </c>
      <c r="D68" t="s">
        <v>203</v>
      </c>
      <c r="E68" t="s">
        <v>218</v>
      </c>
    </row>
    <row r="69" spans="1:5" hidden="1" x14ac:dyDescent="0.2">
      <c r="A69" t="s">
        <v>145</v>
      </c>
      <c r="B69" s="1" t="s">
        <v>195</v>
      </c>
      <c r="C69" s="1" t="s">
        <v>199</v>
      </c>
      <c r="D69" t="s">
        <v>214</v>
      </c>
      <c r="E69" t="s">
        <v>218</v>
      </c>
    </row>
    <row r="70" spans="1:5" hidden="1" x14ac:dyDescent="0.2">
      <c r="A70" t="s">
        <v>146</v>
      </c>
      <c r="B70" s="1" t="s">
        <v>195</v>
      </c>
      <c r="C70" s="1" t="s">
        <v>200</v>
      </c>
      <c r="D70" t="s">
        <v>215</v>
      </c>
      <c r="E70" t="s">
        <v>218</v>
      </c>
    </row>
    <row r="71" spans="1:5" hidden="1" x14ac:dyDescent="0.2">
      <c r="A71" t="s">
        <v>147</v>
      </c>
      <c r="B71" s="1" t="s">
        <v>195</v>
      </c>
      <c r="C71" s="1" t="s">
        <v>200</v>
      </c>
      <c r="D71" t="s">
        <v>215</v>
      </c>
      <c r="E71" t="s">
        <v>218</v>
      </c>
    </row>
    <row r="72" spans="1:5" hidden="1" x14ac:dyDescent="0.2">
      <c r="A72" t="s">
        <v>148</v>
      </c>
      <c r="B72" s="1" t="s">
        <v>195</v>
      </c>
      <c r="C72" s="1" t="s">
        <v>200</v>
      </c>
      <c r="D72" t="s">
        <v>215</v>
      </c>
      <c r="E72" t="s">
        <v>218</v>
      </c>
    </row>
    <row r="73" spans="1:5" hidden="1" x14ac:dyDescent="0.2">
      <c r="A73" t="s">
        <v>149</v>
      </c>
      <c r="B73" s="1" t="s">
        <v>195</v>
      </c>
      <c r="C73" s="1" t="s">
        <v>200</v>
      </c>
      <c r="D73" t="s">
        <v>215</v>
      </c>
      <c r="E73" t="s">
        <v>218</v>
      </c>
    </row>
    <row r="74" spans="1:5" hidden="1" x14ac:dyDescent="0.2">
      <c r="A74" t="s">
        <v>150</v>
      </c>
      <c r="B74" s="1" t="s">
        <v>195</v>
      </c>
      <c r="C74" s="1" t="s">
        <v>200</v>
      </c>
      <c r="D74" t="s">
        <v>215</v>
      </c>
      <c r="E74" t="s">
        <v>218</v>
      </c>
    </row>
    <row r="75" spans="1:5" hidden="1" x14ac:dyDescent="0.2">
      <c r="A75" t="s">
        <v>151</v>
      </c>
      <c r="B75" s="1" t="s">
        <v>195</v>
      </c>
      <c r="C75" s="1" t="s">
        <v>200</v>
      </c>
      <c r="D75" t="s">
        <v>215</v>
      </c>
      <c r="E75" t="s">
        <v>218</v>
      </c>
    </row>
    <row r="76" spans="1:5" hidden="1" x14ac:dyDescent="0.2">
      <c r="A76" t="s">
        <v>152</v>
      </c>
      <c r="B76" s="1" t="s">
        <v>195</v>
      </c>
      <c r="C76" s="1" t="s">
        <v>197</v>
      </c>
      <c r="D76" t="s">
        <v>212</v>
      </c>
      <c r="E76" t="s">
        <v>218</v>
      </c>
    </row>
    <row r="77" spans="1:5" hidden="1" x14ac:dyDescent="0.2">
      <c r="A77" t="s">
        <v>153</v>
      </c>
      <c r="B77" s="1" t="s">
        <v>195</v>
      </c>
      <c r="C77" s="1" t="s">
        <v>199</v>
      </c>
      <c r="D77" t="s">
        <v>214</v>
      </c>
      <c r="E77" t="s">
        <v>218</v>
      </c>
    </row>
    <row r="78" spans="1:5" hidden="1" x14ac:dyDescent="0.2">
      <c r="A78" t="s">
        <v>154</v>
      </c>
      <c r="B78" s="1" t="s">
        <v>195</v>
      </c>
      <c r="C78" s="1" t="s">
        <v>199</v>
      </c>
      <c r="D78" t="s">
        <v>214</v>
      </c>
      <c r="E78" t="s">
        <v>218</v>
      </c>
    </row>
    <row r="79" spans="1:5" hidden="1" x14ac:dyDescent="0.2">
      <c r="A79" t="s">
        <v>155</v>
      </c>
      <c r="B79" s="1" t="s">
        <v>195</v>
      </c>
      <c r="C79" s="1" t="s">
        <v>186</v>
      </c>
      <c r="D79" t="s">
        <v>203</v>
      </c>
      <c r="E79" t="s">
        <v>218</v>
      </c>
    </row>
    <row r="80" spans="1:5" hidden="1" x14ac:dyDescent="0.2">
      <c r="A80" t="s">
        <v>156</v>
      </c>
      <c r="B80" s="1" t="s">
        <v>195</v>
      </c>
      <c r="C80" s="1" t="s">
        <v>201</v>
      </c>
      <c r="D80" t="s">
        <v>216</v>
      </c>
      <c r="E80" t="s">
        <v>218</v>
      </c>
    </row>
    <row r="81" spans="1:5" hidden="1" x14ac:dyDescent="0.2">
      <c r="A81" t="s">
        <v>157</v>
      </c>
      <c r="B81" s="1" t="s">
        <v>195</v>
      </c>
      <c r="C81" s="1" t="s">
        <v>201</v>
      </c>
      <c r="D81" t="s">
        <v>216</v>
      </c>
      <c r="E81" t="s">
        <v>218</v>
      </c>
    </row>
    <row r="82" spans="1:5" hidden="1" x14ac:dyDescent="0.2">
      <c r="A82" t="s">
        <v>158</v>
      </c>
      <c r="B82" s="1" t="s">
        <v>195</v>
      </c>
      <c r="C82" s="1" t="s">
        <v>201</v>
      </c>
      <c r="D82" t="s">
        <v>216</v>
      </c>
      <c r="E82" t="s">
        <v>218</v>
      </c>
    </row>
    <row r="83" spans="1:5" hidden="1" x14ac:dyDescent="0.2">
      <c r="A83" t="s">
        <v>159</v>
      </c>
      <c r="B83" s="1" t="s">
        <v>195</v>
      </c>
      <c r="C83" s="1" t="s">
        <v>201</v>
      </c>
      <c r="D83" t="s">
        <v>216</v>
      </c>
      <c r="E83" t="s">
        <v>218</v>
      </c>
    </row>
    <row r="84" spans="1:5" hidden="1" x14ac:dyDescent="0.2">
      <c r="A84" t="s">
        <v>160</v>
      </c>
      <c r="B84" s="1" t="s">
        <v>195</v>
      </c>
      <c r="C84" s="1" t="s">
        <v>186</v>
      </c>
      <c r="D84" t="s">
        <v>203</v>
      </c>
      <c r="E84" t="s">
        <v>218</v>
      </c>
    </row>
    <row r="85" spans="1:5" hidden="1" x14ac:dyDescent="0.2">
      <c r="A85" t="s">
        <v>161</v>
      </c>
      <c r="B85" s="1" t="s">
        <v>195</v>
      </c>
      <c r="C85" s="1" t="s">
        <v>186</v>
      </c>
      <c r="D85" t="s">
        <v>203</v>
      </c>
      <c r="E85" t="s">
        <v>218</v>
      </c>
    </row>
    <row r="86" spans="1:5" hidden="1" x14ac:dyDescent="0.2">
      <c r="A86" t="s">
        <v>162</v>
      </c>
      <c r="B86" s="1" t="s">
        <v>195</v>
      </c>
      <c r="C86" s="1" t="s">
        <v>202</v>
      </c>
      <c r="D86" t="s">
        <v>217</v>
      </c>
      <c r="E86" t="s">
        <v>218</v>
      </c>
    </row>
    <row r="87" spans="1:5" hidden="1" x14ac:dyDescent="0.2">
      <c r="A87" t="s">
        <v>163</v>
      </c>
      <c r="B87" s="1" t="s">
        <v>195</v>
      </c>
      <c r="C87" s="1" t="s">
        <v>186</v>
      </c>
      <c r="D87" t="s">
        <v>203</v>
      </c>
      <c r="E87" t="s">
        <v>218</v>
      </c>
    </row>
    <row r="88" spans="1:5" hidden="1" x14ac:dyDescent="0.2">
      <c r="A88" t="s">
        <v>164</v>
      </c>
      <c r="B88" s="1" t="s">
        <v>195</v>
      </c>
      <c r="C88" s="1" t="s">
        <v>193</v>
      </c>
      <c r="D88" t="s">
        <v>203</v>
      </c>
      <c r="E88" t="s">
        <v>218</v>
      </c>
    </row>
    <row r="89" spans="1:5" hidden="1" x14ac:dyDescent="0.2">
      <c r="A89" t="s">
        <v>165</v>
      </c>
      <c r="B89" s="1" t="s">
        <v>195</v>
      </c>
      <c r="C89" s="1" t="s">
        <v>193</v>
      </c>
      <c r="D89" t="s">
        <v>203</v>
      </c>
      <c r="E89" t="s">
        <v>218</v>
      </c>
    </row>
    <row r="90" spans="1:5" hidden="1" x14ac:dyDescent="0.2">
      <c r="A90" t="s">
        <v>166</v>
      </c>
      <c r="B90" s="1" t="s">
        <v>195</v>
      </c>
      <c r="C90" s="1" t="s">
        <v>186</v>
      </c>
      <c r="D90" t="s">
        <v>203</v>
      </c>
      <c r="E90" t="s">
        <v>218</v>
      </c>
    </row>
    <row r="91" spans="1:5" hidden="1" x14ac:dyDescent="0.2">
      <c r="A91" t="s">
        <v>167</v>
      </c>
      <c r="B91" s="1" t="s">
        <v>195</v>
      </c>
      <c r="C91" s="1" t="s">
        <v>186</v>
      </c>
      <c r="D91" t="s">
        <v>203</v>
      </c>
      <c r="E91" t="s">
        <v>218</v>
      </c>
    </row>
    <row r="92" spans="1:5" hidden="1" x14ac:dyDescent="0.2">
      <c r="A92" t="s">
        <v>168</v>
      </c>
      <c r="B92" s="1" t="s">
        <v>195</v>
      </c>
      <c r="C92" s="1" t="s">
        <v>193</v>
      </c>
      <c r="D92" t="s">
        <v>203</v>
      </c>
      <c r="E92" t="s">
        <v>218</v>
      </c>
    </row>
    <row r="93" spans="1:5" hidden="1" x14ac:dyDescent="0.2">
      <c r="A93" t="s">
        <v>169</v>
      </c>
      <c r="B93" s="1" t="s">
        <v>195</v>
      </c>
      <c r="C93" s="1" t="s">
        <v>202</v>
      </c>
      <c r="D93" t="s">
        <v>217</v>
      </c>
      <c r="E93" t="s">
        <v>218</v>
      </c>
    </row>
    <row r="94" spans="1:5" hidden="1" x14ac:dyDescent="0.2">
      <c r="A94" t="s">
        <v>170</v>
      </c>
      <c r="B94" s="1" t="s">
        <v>195</v>
      </c>
      <c r="C94" s="1" t="s">
        <v>186</v>
      </c>
      <c r="D94" t="s">
        <v>203</v>
      </c>
      <c r="E94" t="s">
        <v>218</v>
      </c>
    </row>
    <row r="95" spans="1:5" hidden="1" x14ac:dyDescent="0.2">
      <c r="A95" t="s">
        <v>171</v>
      </c>
      <c r="B95" s="1" t="s">
        <v>195</v>
      </c>
      <c r="C95" s="1" t="s">
        <v>186</v>
      </c>
      <c r="D95" t="s">
        <v>203</v>
      </c>
      <c r="E95" t="s">
        <v>218</v>
      </c>
    </row>
    <row r="96" spans="1:5" hidden="1" x14ac:dyDescent="0.2">
      <c r="A96" t="s">
        <v>172</v>
      </c>
      <c r="B96" s="1" t="s">
        <v>195</v>
      </c>
      <c r="C96" s="1" t="s">
        <v>186</v>
      </c>
      <c r="D96" t="s">
        <v>203</v>
      </c>
      <c r="E96" t="s">
        <v>218</v>
      </c>
    </row>
    <row r="97" spans="1:5" hidden="1" x14ac:dyDescent="0.2">
      <c r="A97" t="s">
        <v>173</v>
      </c>
      <c r="B97" s="1" t="s">
        <v>195</v>
      </c>
      <c r="C97" s="1" t="s">
        <v>202</v>
      </c>
      <c r="D97" t="s">
        <v>217</v>
      </c>
      <c r="E97" t="s">
        <v>218</v>
      </c>
    </row>
    <row r="98" spans="1:5" hidden="1" x14ac:dyDescent="0.2">
      <c r="A98" t="s">
        <v>174</v>
      </c>
      <c r="B98" s="1" t="s">
        <v>195</v>
      </c>
      <c r="C98" s="1" t="s">
        <v>193</v>
      </c>
      <c r="D98" t="s">
        <v>203</v>
      </c>
      <c r="E98" t="s">
        <v>218</v>
      </c>
    </row>
    <row r="99" spans="1:5" hidden="1" x14ac:dyDescent="0.2">
      <c r="A99" t="s">
        <v>175</v>
      </c>
      <c r="B99" s="1" t="s">
        <v>195</v>
      </c>
      <c r="C99" s="1" t="s">
        <v>193</v>
      </c>
      <c r="D99" t="s">
        <v>203</v>
      </c>
      <c r="E99" t="s">
        <v>218</v>
      </c>
    </row>
    <row r="100" spans="1:5" hidden="1" x14ac:dyDescent="0.2">
      <c r="A100" t="s">
        <v>176</v>
      </c>
      <c r="B100" s="1" t="s">
        <v>195</v>
      </c>
      <c r="C100" s="1" t="s">
        <v>202</v>
      </c>
      <c r="D100" t="s">
        <v>217</v>
      </c>
      <c r="E100" t="s">
        <v>218</v>
      </c>
    </row>
    <row r="101" spans="1:5" hidden="1" x14ac:dyDescent="0.2">
      <c r="A101" t="s">
        <v>177</v>
      </c>
      <c r="B101" s="1" t="s">
        <v>195</v>
      </c>
      <c r="C101" s="1" t="s">
        <v>200</v>
      </c>
      <c r="D101" t="s">
        <v>215</v>
      </c>
      <c r="E101" t="s">
        <v>218</v>
      </c>
    </row>
    <row r="102" spans="1:5" hidden="1" x14ac:dyDescent="0.2">
      <c r="A102" t="s">
        <v>178</v>
      </c>
      <c r="B102" s="1" t="s">
        <v>195</v>
      </c>
      <c r="C102" s="1" t="s">
        <v>186</v>
      </c>
      <c r="D102" t="s">
        <v>203</v>
      </c>
      <c r="E102" t="s">
        <v>218</v>
      </c>
    </row>
    <row r="103" spans="1:5" hidden="1" x14ac:dyDescent="0.2">
      <c r="A103" t="s">
        <v>179</v>
      </c>
      <c r="B103" s="1" t="s">
        <v>195</v>
      </c>
      <c r="C103" s="1" t="s">
        <v>193</v>
      </c>
      <c r="D103" t="s">
        <v>203</v>
      </c>
      <c r="E103" t="s">
        <v>218</v>
      </c>
    </row>
    <row r="104" spans="1:5" hidden="1" x14ac:dyDescent="0.2">
      <c r="A104" t="s">
        <v>180</v>
      </c>
      <c r="B104" s="1" t="s">
        <v>195</v>
      </c>
      <c r="C104" s="1" t="s">
        <v>186</v>
      </c>
      <c r="D104" t="s">
        <v>203</v>
      </c>
      <c r="E104" t="s">
        <v>218</v>
      </c>
    </row>
    <row r="105" spans="1:5" hidden="1" x14ac:dyDescent="0.2">
      <c r="A105" t="s">
        <v>181</v>
      </c>
      <c r="B105" s="1" t="s">
        <v>195</v>
      </c>
      <c r="C105" s="1" t="s">
        <v>193</v>
      </c>
      <c r="D105" t="s">
        <v>203</v>
      </c>
      <c r="E105" t="s">
        <v>218</v>
      </c>
    </row>
    <row r="106" spans="1:5" hidden="1" x14ac:dyDescent="0.2">
      <c r="A106" t="s">
        <v>182</v>
      </c>
      <c r="B106" s="1" t="s">
        <v>195</v>
      </c>
      <c r="C106" s="1" t="s">
        <v>186</v>
      </c>
      <c r="D106" t="s">
        <v>203</v>
      </c>
      <c r="E106" t="s">
        <v>218</v>
      </c>
    </row>
    <row r="107" spans="1:5" hidden="1" x14ac:dyDescent="0.2">
      <c r="A107" t="s">
        <v>183</v>
      </c>
      <c r="B107" s="1" t="s">
        <v>195</v>
      </c>
      <c r="C107" s="1" t="s">
        <v>193</v>
      </c>
      <c r="D107" t="s">
        <v>203</v>
      </c>
      <c r="E107" t="s">
        <v>218</v>
      </c>
    </row>
  </sheetData>
  <autoFilter ref="A1:F107" xr:uid="{522CC4CE-A988-6A47-851C-1EE9C8AB1B27}">
    <filterColumn colId="3">
      <filters>
        <filter val="LL1160"/>
      </filters>
    </filterColumn>
  </autoFilter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5BDF-3429-0D4E-A557-6698495A80F5}">
  <dimension ref="A1:S33"/>
  <sheetViews>
    <sheetView showFormulas="1" topLeftCell="A5" workbookViewId="0">
      <selection activeCell="C23" sqref="C23:D33"/>
    </sheetView>
  </sheetViews>
  <sheetFormatPr baseColWidth="10" defaultRowHeight="16" x14ac:dyDescent="0.2"/>
  <cols>
    <col min="3" max="3" width="47.83203125" customWidth="1"/>
  </cols>
  <sheetData>
    <row r="1" spans="1:19" x14ac:dyDescent="0.2">
      <c r="A1" t="s">
        <v>270</v>
      </c>
    </row>
    <row r="2" spans="1:19" x14ac:dyDescent="0.2">
      <c r="A2">
        <v>1</v>
      </c>
      <c r="B2" t="s">
        <v>299</v>
      </c>
    </row>
    <row r="3" spans="1:19" x14ac:dyDescent="0.2">
      <c r="A3">
        <v>2</v>
      </c>
      <c r="B3" t="s">
        <v>300</v>
      </c>
    </row>
    <row r="10" spans="1:19" x14ac:dyDescent="0.2">
      <c r="A10" t="s">
        <v>77</v>
      </c>
      <c r="B10" t="s">
        <v>75</v>
      </c>
      <c r="C10" t="s">
        <v>74</v>
      </c>
      <c r="D10" t="s">
        <v>184</v>
      </c>
      <c r="E10" t="s">
        <v>76</v>
      </c>
      <c r="F10" t="s">
        <v>290</v>
      </c>
      <c r="G10" t="s">
        <v>425</v>
      </c>
      <c r="H10" t="s">
        <v>294</v>
      </c>
      <c r="I10" t="s">
        <v>293</v>
      </c>
      <c r="J10" t="s">
        <v>296</v>
      </c>
      <c r="K10" t="s">
        <v>295</v>
      </c>
      <c r="L10" t="s">
        <v>297</v>
      </c>
      <c r="M10" t="s">
        <v>298</v>
      </c>
      <c r="N10" t="s">
        <v>228</v>
      </c>
      <c r="O10" t="s">
        <v>229</v>
      </c>
      <c r="P10" t="s">
        <v>424</v>
      </c>
      <c r="Q10" t="s">
        <v>227</v>
      </c>
      <c r="R10" t="s">
        <v>230</v>
      </c>
      <c r="S10" t="s">
        <v>219</v>
      </c>
    </row>
    <row r="11" spans="1:19" x14ac:dyDescent="0.2">
      <c r="A11" t="s">
        <v>272</v>
      </c>
      <c r="B11" t="s">
        <v>285</v>
      </c>
      <c r="C11" t="s">
        <v>286</v>
      </c>
      <c r="D11" t="s">
        <v>282</v>
      </c>
      <c r="F11" s="1" t="s">
        <v>291</v>
      </c>
      <c r="G11">
        <v>2</v>
      </c>
      <c r="H11">
        <v>29.5</v>
      </c>
      <c r="J11">
        <v>2.7</v>
      </c>
      <c r="L11">
        <v>1.7</v>
      </c>
      <c r="M11">
        <v>0.27</v>
      </c>
      <c r="N11">
        <f>(H11*46.07)/1000</f>
        <v>1.359065</v>
      </c>
      <c r="O11">
        <f>((J11-G11)*45.02)/1000</f>
        <v>3.1514000000000007E-2</v>
      </c>
      <c r="P11">
        <v>5</v>
      </c>
      <c r="Q11">
        <v>0</v>
      </c>
      <c r="R11">
        <v>0</v>
      </c>
    </row>
    <row r="12" spans="1:19" x14ac:dyDescent="0.2">
      <c r="A12" t="s">
        <v>273</v>
      </c>
      <c r="B12" t="s">
        <v>285</v>
      </c>
      <c r="C12" t="s">
        <v>286</v>
      </c>
      <c r="D12" t="s">
        <v>282</v>
      </c>
      <c r="F12" s="1" t="s">
        <v>291</v>
      </c>
      <c r="G12">
        <v>2</v>
      </c>
      <c r="H12">
        <v>29.5</v>
      </c>
      <c r="J12">
        <v>2.7</v>
      </c>
      <c r="L12">
        <v>1.7</v>
      </c>
      <c r="M12">
        <v>0.27</v>
      </c>
      <c r="N12">
        <f t="shared" ref="N12:N20" si="0">(H12*46.07)/1000</f>
        <v>1.359065</v>
      </c>
      <c r="O12">
        <f t="shared" ref="O12:O20" si="1">((J12-G12)*45.02)/1000</f>
        <v>3.1514000000000007E-2</v>
      </c>
      <c r="P12">
        <v>5</v>
      </c>
      <c r="Q12">
        <v>0</v>
      </c>
      <c r="R12">
        <v>0</v>
      </c>
    </row>
    <row r="13" spans="1:19" x14ac:dyDescent="0.2">
      <c r="A13" t="s">
        <v>274</v>
      </c>
      <c r="B13" t="s">
        <v>285</v>
      </c>
      <c r="C13" t="s">
        <v>287</v>
      </c>
      <c r="D13" t="s">
        <v>282</v>
      </c>
      <c r="F13" s="1" t="s">
        <v>292</v>
      </c>
      <c r="G13">
        <v>0</v>
      </c>
      <c r="H13">
        <v>33.5</v>
      </c>
      <c r="J13">
        <v>0</v>
      </c>
      <c r="L13">
        <v>1.5</v>
      </c>
      <c r="M13">
        <v>0.13</v>
      </c>
      <c r="N13">
        <f t="shared" si="0"/>
        <v>1.543345</v>
      </c>
      <c r="O13">
        <f t="shared" si="1"/>
        <v>0</v>
      </c>
      <c r="P13">
        <v>5</v>
      </c>
      <c r="Q13">
        <v>0</v>
      </c>
      <c r="R13">
        <v>0</v>
      </c>
    </row>
    <row r="14" spans="1:19" x14ac:dyDescent="0.2">
      <c r="A14" t="s">
        <v>275</v>
      </c>
      <c r="B14" t="s">
        <v>285</v>
      </c>
      <c r="C14" t="s">
        <v>287</v>
      </c>
      <c r="D14" t="s">
        <v>282</v>
      </c>
      <c r="F14" s="1" t="s">
        <v>292</v>
      </c>
      <c r="G14">
        <v>0</v>
      </c>
      <c r="H14">
        <v>33.5</v>
      </c>
      <c r="J14">
        <v>0</v>
      </c>
      <c r="L14">
        <v>1.5</v>
      </c>
      <c r="M14">
        <v>0.13</v>
      </c>
      <c r="N14">
        <f t="shared" si="0"/>
        <v>1.543345</v>
      </c>
      <c r="O14">
        <f t="shared" si="1"/>
        <v>0</v>
      </c>
      <c r="P14">
        <v>5</v>
      </c>
      <c r="Q14">
        <v>0</v>
      </c>
      <c r="R14">
        <v>0</v>
      </c>
    </row>
    <row r="15" spans="1:19" x14ac:dyDescent="0.2">
      <c r="A15" t="s">
        <v>276</v>
      </c>
      <c r="B15" t="s">
        <v>285</v>
      </c>
      <c r="C15" t="s">
        <v>287</v>
      </c>
      <c r="D15" t="s">
        <v>282</v>
      </c>
      <c r="F15" s="1" t="s">
        <v>292</v>
      </c>
      <c r="G15">
        <v>0</v>
      </c>
      <c r="H15">
        <v>33.5</v>
      </c>
      <c r="J15">
        <v>0</v>
      </c>
      <c r="L15">
        <v>1.5</v>
      </c>
      <c r="M15">
        <v>0.13</v>
      </c>
      <c r="N15">
        <f t="shared" si="0"/>
        <v>1.543345</v>
      </c>
      <c r="O15">
        <f t="shared" si="1"/>
        <v>0</v>
      </c>
      <c r="P15">
        <v>5</v>
      </c>
      <c r="Q15">
        <v>0</v>
      </c>
      <c r="R15">
        <v>0</v>
      </c>
    </row>
    <row r="16" spans="1:19" x14ac:dyDescent="0.2">
      <c r="A16" t="s">
        <v>277</v>
      </c>
      <c r="B16" t="s">
        <v>285</v>
      </c>
      <c r="C16" t="s">
        <v>287</v>
      </c>
      <c r="D16" t="s">
        <v>282</v>
      </c>
      <c r="F16" s="1" t="s">
        <v>292</v>
      </c>
      <c r="G16">
        <v>0</v>
      </c>
      <c r="H16">
        <v>33.5</v>
      </c>
      <c r="J16">
        <v>0</v>
      </c>
      <c r="L16">
        <v>1.5</v>
      </c>
      <c r="M16">
        <v>0.13</v>
      </c>
      <c r="N16">
        <f t="shared" si="0"/>
        <v>1.543345</v>
      </c>
      <c r="O16">
        <f t="shared" si="1"/>
        <v>0</v>
      </c>
      <c r="P16">
        <v>5</v>
      </c>
      <c r="Q16">
        <v>0</v>
      </c>
      <c r="R16">
        <v>0</v>
      </c>
    </row>
    <row r="17" spans="1:18" x14ac:dyDescent="0.2">
      <c r="A17" t="s">
        <v>278</v>
      </c>
      <c r="B17" t="s">
        <v>285</v>
      </c>
      <c r="C17" t="s">
        <v>288</v>
      </c>
      <c r="D17" t="s">
        <v>283</v>
      </c>
      <c r="F17" s="1" t="s">
        <v>291</v>
      </c>
      <c r="G17">
        <v>2</v>
      </c>
      <c r="H17">
        <v>30.8</v>
      </c>
      <c r="J17">
        <v>1.5</v>
      </c>
      <c r="L17">
        <v>2.6</v>
      </c>
      <c r="M17">
        <v>0.19</v>
      </c>
      <c r="N17">
        <f t="shared" si="0"/>
        <v>1.4189560000000001</v>
      </c>
      <c r="O17">
        <f t="shared" si="1"/>
        <v>-2.2510000000000002E-2</v>
      </c>
      <c r="P17">
        <v>5</v>
      </c>
      <c r="Q17">
        <v>0</v>
      </c>
      <c r="R17">
        <v>0</v>
      </c>
    </row>
    <row r="18" spans="1:18" x14ac:dyDescent="0.2">
      <c r="A18" t="s">
        <v>279</v>
      </c>
      <c r="B18" t="s">
        <v>285</v>
      </c>
      <c r="C18" t="s">
        <v>288</v>
      </c>
      <c r="D18" t="s">
        <v>283</v>
      </c>
      <c r="F18" s="1" t="s">
        <v>291</v>
      </c>
      <c r="G18">
        <v>2</v>
      </c>
      <c r="H18">
        <v>30.8</v>
      </c>
      <c r="J18">
        <v>1.5</v>
      </c>
      <c r="M18">
        <v>0.19</v>
      </c>
      <c r="N18">
        <f t="shared" si="0"/>
        <v>1.4189560000000001</v>
      </c>
      <c r="O18">
        <f t="shared" si="1"/>
        <v>-2.2510000000000002E-2</v>
      </c>
      <c r="P18">
        <v>5</v>
      </c>
      <c r="Q18">
        <v>0</v>
      </c>
      <c r="R18">
        <v>0</v>
      </c>
    </row>
    <row r="19" spans="1:18" x14ac:dyDescent="0.2">
      <c r="A19" t="s">
        <v>280</v>
      </c>
      <c r="B19" t="s">
        <v>285</v>
      </c>
      <c r="C19" t="s">
        <v>289</v>
      </c>
      <c r="D19" t="s">
        <v>284</v>
      </c>
      <c r="F19" s="1" t="s">
        <v>292</v>
      </c>
      <c r="G19">
        <v>0</v>
      </c>
      <c r="H19">
        <v>16.600000000000001</v>
      </c>
      <c r="I19">
        <v>16</v>
      </c>
      <c r="J19">
        <v>7</v>
      </c>
      <c r="K19">
        <v>0.3</v>
      </c>
      <c r="L19">
        <v>1.9</v>
      </c>
      <c r="M19">
        <v>0.39</v>
      </c>
      <c r="N19">
        <f t="shared" si="0"/>
        <v>0.76476200000000005</v>
      </c>
      <c r="O19">
        <f t="shared" si="1"/>
        <v>0.31514000000000003</v>
      </c>
      <c r="P19">
        <v>5</v>
      </c>
      <c r="Q19">
        <f>(I19*59.04)/1000</f>
        <v>0.94464000000000004</v>
      </c>
      <c r="R19">
        <f>(K19*89.07)/1000</f>
        <v>2.6720999999999998E-2</v>
      </c>
    </row>
    <row r="20" spans="1:18" x14ac:dyDescent="0.2">
      <c r="A20" t="s">
        <v>281</v>
      </c>
      <c r="B20" t="s">
        <v>285</v>
      </c>
      <c r="C20" t="s">
        <v>289</v>
      </c>
      <c r="D20" t="s">
        <v>284</v>
      </c>
      <c r="F20" s="1" t="s">
        <v>292</v>
      </c>
      <c r="G20">
        <v>0</v>
      </c>
      <c r="H20">
        <v>16.600000000000001</v>
      </c>
      <c r="I20">
        <v>16</v>
      </c>
      <c r="J20">
        <v>7</v>
      </c>
      <c r="K20">
        <v>0.3</v>
      </c>
      <c r="L20">
        <v>1.9</v>
      </c>
      <c r="M20">
        <v>0.39</v>
      </c>
      <c r="N20">
        <f t="shared" si="0"/>
        <v>0.76476200000000005</v>
      </c>
      <c r="O20">
        <f t="shared" si="1"/>
        <v>0.31514000000000003</v>
      </c>
      <c r="P20">
        <v>5</v>
      </c>
      <c r="Q20">
        <f>(I20*59.04)/1000</f>
        <v>0.94464000000000004</v>
      </c>
      <c r="R20">
        <f>(K20*89.07)/1000</f>
        <v>2.6720999999999998E-2</v>
      </c>
    </row>
    <row r="23" spans="1:18" x14ac:dyDescent="0.2">
      <c r="C23" t="s">
        <v>74</v>
      </c>
      <c r="D23" t="s">
        <v>298</v>
      </c>
    </row>
    <row r="24" spans="1:18" x14ac:dyDescent="0.2">
      <c r="C24" t="s">
        <v>289</v>
      </c>
      <c r="D24">
        <v>0.39</v>
      </c>
    </row>
    <row r="25" spans="1:18" x14ac:dyDescent="0.2">
      <c r="C25" t="s">
        <v>289</v>
      </c>
      <c r="D25">
        <v>0.39</v>
      </c>
    </row>
    <row r="26" spans="1:18" x14ac:dyDescent="0.2">
      <c r="C26" t="s">
        <v>286</v>
      </c>
      <c r="D26">
        <v>0.27</v>
      </c>
    </row>
    <row r="27" spans="1:18" x14ac:dyDescent="0.2">
      <c r="C27" t="s">
        <v>286</v>
      </c>
      <c r="D27">
        <v>0.27</v>
      </c>
    </row>
    <row r="28" spans="1:18" x14ac:dyDescent="0.2">
      <c r="C28" t="s">
        <v>288</v>
      </c>
      <c r="D28">
        <v>0.19</v>
      </c>
    </row>
    <row r="29" spans="1:18" x14ac:dyDescent="0.2">
      <c r="C29" t="s">
        <v>288</v>
      </c>
      <c r="D29">
        <v>0.19</v>
      </c>
    </row>
    <row r="30" spans="1:18" x14ac:dyDescent="0.2">
      <c r="C30" t="s">
        <v>287</v>
      </c>
      <c r="D30">
        <v>0.13</v>
      </c>
    </row>
    <row r="31" spans="1:18" x14ac:dyDescent="0.2">
      <c r="C31" t="s">
        <v>287</v>
      </c>
      <c r="D31">
        <v>0.13</v>
      </c>
    </row>
    <row r="32" spans="1:18" x14ac:dyDescent="0.2">
      <c r="C32" t="s">
        <v>287</v>
      </c>
      <c r="D32">
        <v>0.13</v>
      </c>
    </row>
    <row r="33" spans="3:4" x14ac:dyDescent="0.2">
      <c r="C33" t="s">
        <v>287</v>
      </c>
      <c r="D33">
        <v>0.13</v>
      </c>
    </row>
  </sheetData>
  <sortState xmlns:xlrd2="http://schemas.microsoft.com/office/spreadsheetml/2017/richdata2" ref="C24:D33">
    <sortCondition descending="1" ref="D24:D33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B3DE-126F-3E4C-A6C7-93785C064BA5}">
  <dimension ref="A1:B3"/>
  <sheetViews>
    <sheetView workbookViewId="0">
      <selection sqref="A1:B3"/>
    </sheetView>
  </sheetViews>
  <sheetFormatPr baseColWidth="10" defaultRowHeight="16" x14ac:dyDescent="0.2"/>
  <sheetData>
    <row r="1" spans="1:2" x14ac:dyDescent="0.2">
      <c r="A1" t="s">
        <v>270</v>
      </c>
    </row>
    <row r="2" spans="1:2" x14ac:dyDescent="0.2">
      <c r="A2">
        <v>1</v>
      </c>
      <c r="B2" t="s">
        <v>302</v>
      </c>
    </row>
    <row r="3" spans="1:2" x14ac:dyDescent="0.2">
      <c r="A3">
        <v>2</v>
      </c>
      <c r="B3" t="s">
        <v>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5167-AFEB-4E4F-86F9-4B7050BF2069}">
  <dimension ref="A1:AT30"/>
  <sheetViews>
    <sheetView workbookViewId="0">
      <selection activeCell="N10" sqref="N10:N16"/>
    </sheetView>
  </sheetViews>
  <sheetFormatPr baseColWidth="10" defaultRowHeight="16" x14ac:dyDescent="0.2"/>
  <sheetData>
    <row r="1" spans="1:15" x14ac:dyDescent="0.2">
      <c r="A1" t="s">
        <v>270</v>
      </c>
    </row>
    <row r="2" spans="1:15" x14ac:dyDescent="0.2">
      <c r="A2">
        <v>1</v>
      </c>
      <c r="B2" t="s">
        <v>304</v>
      </c>
    </row>
    <row r="3" spans="1:15" x14ac:dyDescent="0.2">
      <c r="A3">
        <v>2</v>
      </c>
      <c r="B3" t="s">
        <v>326</v>
      </c>
    </row>
    <row r="5" spans="1:15" x14ac:dyDescent="0.2">
      <c r="A5" t="s">
        <v>305</v>
      </c>
      <c r="B5" t="s">
        <v>306</v>
      </c>
    </row>
    <row r="10" spans="1:15" x14ac:dyDescent="0.2">
      <c r="A10" t="s">
        <v>77</v>
      </c>
      <c r="B10" t="s">
        <v>75</v>
      </c>
      <c r="C10" t="s">
        <v>74</v>
      </c>
      <c r="D10" t="s">
        <v>184</v>
      </c>
      <c r="E10" t="s">
        <v>76</v>
      </c>
      <c r="F10" t="s">
        <v>290</v>
      </c>
      <c r="G10" t="s">
        <v>322</v>
      </c>
      <c r="H10" t="s">
        <v>323</v>
      </c>
      <c r="I10" t="s">
        <v>324</v>
      </c>
      <c r="J10" t="s">
        <v>325</v>
      </c>
      <c r="K10" t="s">
        <v>298</v>
      </c>
      <c r="L10" t="s">
        <v>423</v>
      </c>
      <c r="M10" t="s">
        <v>294</v>
      </c>
      <c r="N10" t="s">
        <v>228</v>
      </c>
      <c r="O10" t="s">
        <v>219</v>
      </c>
    </row>
    <row r="11" spans="1:15" x14ac:dyDescent="0.2">
      <c r="A11" t="s">
        <v>307</v>
      </c>
      <c r="B11" t="s">
        <v>309</v>
      </c>
      <c r="C11" t="s">
        <v>310</v>
      </c>
      <c r="D11" t="s">
        <v>308</v>
      </c>
      <c r="E11" t="s">
        <v>321</v>
      </c>
      <c r="F11" t="s">
        <v>311</v>
      </c>
      <c r="G11">
        <v>1.31</v>
      </c>
      <c r="H11">
        <v>0.01</v>
      </c>
      <c r="I11">
        <v>0.13</v>
      </c>
      <c r="J11">
        <v>0</v>
      </c>
      <c r="K11">
        <v>0.45</v>
      </c>
      <c r="L11">
        <f>G11*2</f>
        <v>2.62</v>
      </c>
      <c r="M11">
        <f>(L11*5*1000)/342.3</f>
        <v>38.270522933099627</v>
      </c>
      <c r="N11">
        <f>(M11*46.07)/1000</f>
        <v>1.7631229915278999</v>
      </c>
    </row>
    <row r="12" spans="1:15" x14ac:dyDescent="0.2">
      <c r="A12" t="s">
        <v>314</v>
      </c>
      <c r="B12" t="s">
        <v>309</v>
      </c>
      <c r="C12" t="s">
        <v>310</v>
      </c>
      <c r="D12" t="s">
        <v>308</v>
      </c>
      <c r="E12" t="s">
        <v>321</v>
      </c>
      <c r="F12" t="s">
        <v>311</v>
      </c>
      <c r="G12">
        <v>1.31</v>
      </c>
      <c r="H12">
        <v>0.01</v>
      </c>
      <c r="I12">
        <v>0.13</v>
      </c>
      <c r="J12">
        <v>0</v>
      </c>
      <c r="K12">
        <v>0.45</v>
      </c>
      <c r="L12">
        <f t="shared" ref="L12:L16" si="0">G12*2</f>
        <v>2.62</v>
      </c>
      <c r="M12">
        <f t="shared" ref="M12:M16" si="1">(L12*5*1000)/342.3</f>
        <v>38.270522933099627</v>
      </c>
      <c r="N12">
        <f t="shared" ref="N12:N16" si="2">(M12*46.07)/1000</f>
        <v>1.7631229915278999</v>
      </c>
    </row>
    <row r="13" spans="1:15" x14ac:dyDescent="0.2">
      <c r="A13" t="s">
        <v>315</v>
      </c>
      <c r="B13" t="s">
        <v>309</v>
      </c>
      <c r="C13" t="s">
        <v>310</v>
      </c>
      <c r="D13" t="s">
        <v>308</v>
      </c>
      <c r="E13" t="s">
        <v>321</v>
      </c>
      <c r="F13" t="s">
        <v>311</v>
      </c>
      <c r="G13">
        <v>1.31</v>
      </c>
      <c r="H13">
        <v>0.01</v>
      </c>
      <c r="I13">
        <v>0.13</v>
      </c>
      <c r="J13">
        <v>0</v>
      </c>
      <c r="K13">
        <v>0.45</v>
      </c>
      <c r="L13">
        <f t="shared" si="0"/>
        <v>2.62</v>
      </c>
      <c r="M13">
        <f t="shared" si="1"/>
        <v>38.270522933099627</v>
      </c>
      <c r="N13">
        <f t="shared" si="2"/>
        <v>1.7631229915278999</v>
      </c>
    </row>
    <row r="14" spans="1:15" x14ac:dyDescent="0.2">
      <c r="A14" t="s">
        <v>316</v>
      </c>
      <c r="B14" t="s">
        <v>309</v>
      </c>
      <c r="C14" t="s">
        <v>317</v>
      </c>
      <c r="D14" t="s">
        <v>308</v>
      </c>
      <c r="E14" t="s">
        <v>321</v>
      </c>
      <c r="F14" t="s">
        <v>318</v>
      </c>
      <c r="G14">
        <v>1.25</v>
      </c>
      <c r="H14">
        <v>0.01</v>
      </c>
      <c r="I14">
        <v>0.12</v>
      </c>
      <c r="J14">
        <v>0.01</v>
      </c>
      <c r="K14">
        <v>0.23</v>
      </c>
      <c r="L14">
        <f t="shared" si="0"/>
        <v>2.5</v>
      </c>
      <c r="M14">
        <f t="shared" si="1"/>
        <v>36.517674554484373</v>
      </c>
      <c r="N14">
        <f t="shared" si="2"/>
        <v>1.6823692667250951</v>
      </c>
    </row>
    <row r="15" spans="1:15" x14ac:dyDescent="0.2">
      <c r="A15" t="s">
        <v>319</v>
      </c>
      <c r="B15" t="s">
        <v>309</v>
      </c>
      <c r="C15" t="s">
        <v>317</v>
      </c>
      <c r="D15" t="s">
        <v>308</v>
      </c>
      <c r="E15" t="s">
        <v>321</v>
      </c>
      <c r="F15" t="s">
        <v>318</v>
      </c>
      <c r="G15">
        <v>1.25</v>
      </c>
      <c r="H15">
        <v>0.01</v>
      </c>
      <c r="I15">
        <v>0.12</v>
      </c>
      <c r="J15">
        <v>0.01</v>
      </c>
      <c r="K15">
        <v>0.23</v>
      </c>
      <c r="L15">
        <f t="shared" si="0"/>
        <v>2.5</v>
      </c>
      <c r="M15">
        <f t="shared" si="1"/>
        <v>36.517674554484373</v>
      </c>
      <c r="N15">
        <f t="shared" si="2"/>
        <v>1.6823692667250951</v>
      </c>
    </row>
    <row r="16" spans="1:15" x14ac:dyDescent="0.2">
      <c r="A16" t="s">
        <v>320</v>
      </c>
      <c r="B16" t="s">
        <v>309</v>
      </c>
      <c r="C16" t="s">
        <v>317</v>
      </c>
      <c r="D16" t="s">
        <v>308</v>
      </c>
      <c r="E16" t="s">
        <v>321</v>
      </c>
      <c r="F16" t="s">
        <v>318</v>
      </c>
      <c r="G16">
        <v>1.25</v>
      </c>
      <c r="H16">
        <v>0.01</v>
      </c>
      <c r="I16">
        <v>0.12</v>
      </c>
      <c r="J16">
        <v>0.01</v>
      </c>
      <c r="K16">
        <v>0.23</v>
      </c>
      <c r="L16">
        <f t="shared" si="0"/>
        <v>2.5</v>
      </c>
      <c r="M16">
        <f t="shared" si="1"/>
        <v>36.517674554484373</v>
      </c>
      <c r="N16">
        <f t="shared" si="2"/>
        <v>1.6823692667250951</v>
      </c>
    </row>
    <row r="17" spans="3:46" x14ac:dyDescent="0.2">
      <c r="F17" s="1"/>
    </row>
    <row r="18" spans="3:46" x14ac:dyDescent="0.2">
      <c r="F18" s="1"/>
    </row>
    <row r="19" spans="3:46" x14ac:dyDescent="0.2">
      <c r="F19" s="1"/>
    </row>
    <row r="20" spans="3:46" x14ac:dyDescent="0.2">
      <c r="F20" s="1"/>
    </row>
    <row r="25" spans="3:46" x14ac:dyDescent="0.2">
      <c r="C25" s="3"/>
      <c r="D25" s="3"/>
      <c r="AT25" s="4"/>
    </row>
    <row r="26" spans="3:46" x14ac:dyDescent="0.2">
      <c r="C26" s="3"/>
      <c r="D26" s="3"/>
    </row>
    <row r="27" spans="3:46" x14ac:dyDescent="0.2">
      <c r="C27" s="3"/>
      <c r="D27" s="3"/>
    </row>
    <row r="28" spans="3:46" x14ac:dyDescent="0.2">
      <c r="C28" s="3"/>
      <c r="D28" s="3"/>
      <c r="AS28" s="4"/>
    </row>
    <row r="29" spans="3:46" x14ac:dyDescent="0.2">
      <c r="C29" s="3"/>
      <c r="D29" s="3"/>
    </row>
    <row r="30" spans="3:46" x14ac:dyDescent="0.2">
      <c r="C30" s="3"/>
      <c r="D30" s="3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1F92-F278-9945-99BD-3A38B493BC5F}">
  <dimension ref="A1:J24"/>
  <sheetViews>
    <sheetView workbookViewId="0">
      <selection activeCell="D20" sqref="D20"/>
    </sheetView>
  </sheetViews>
  <sheetFormatPr baseColWidth="10" defaultRowHeight="16" x14ac:dyDescent="0.2"/>
  <sheetData>
    <row r="1" spans="1:10" x14ac:dyDescent="0.2">
      <c r="A1" t="s">
        <v>270</v>
      </c>
    </row>
    <row r="2" spans="1:10" x14ac:dyDescent="0.2">
      <c r="A2">
        <v>1</v>
      </c>
      <c r="B2" t="s">
        <v>364</v>
      </c>
    </row>
    <row r="3" spans="1:10" x14ac:dyDescent="0.2">
      <c r="A3">
        <v>2</v>
      </c>
      <c r="B3" t="s">
        <v>363</v>
      </c>
    </row>
    <row r="9" spans="1:10" x14ac:dyDescent="0.2">
      <c r="A9" t="s">
        <v>77</v>
      </c>
      <c r="B9" t="s">
        <v>75</v>
      </c>
      <c r="C9" t="s">
        <v>74</v>
      </c>
      <c r="D9" t="s">
        <v>184</v>
      </c>
      <c r="E9" t="s">
        <v>76</v>
      </c>
      <c r="F9" t="s">
        <v>294</v>
      </c>
      <c r="G9" t="s">
        <v>293</v>
      </c>
      <c r="H9" t="s">
        <v>296</v>
      </c>
      <c r="I9" t="s">
        <v>295</v>
      </c>
      <c r="J9" t="s">
        <v>298</v>
      </c>
    </row>
    <row r="10" spans="1:10" x14ac:dyDescent="0.2">
      <c r="A10" t="s">
        <v>327</v>
      </c>
      <c r="B10" t="s">
        <v>329</v>
      </c>
      <c r="C10" t="s">
        <v>330</v>
      </c>
      <c r="D10" t="s">
        <v>328</v>
      </c>
      <c r="E10" t="s">
        <v>334</v>
      </c>
    </row>
    <row r="11" spans="1:10" x14ac:dyDescent="0.2">
      <c r="A11" t="s">
        <v>337</v>
      </c>
      <c r="B11" t="s">
        <v>329</v>
      </c>
      <c r="C11" t="s">
        <v>330</v>
      </c>
      <c r="D11" t="s">
        <v>328</v>
      </c>
      <c r="E11" t="s">
        <v>334</v>
      </c>
    </row>
    <row r="12" spans="1:10" x14ac:dyDescent="0.2">
      <c r="A12" t="s">
        <v>338</v>
      </c>
      <c r="B12" t="s">
        <v>329</v>
      </c>
      <c r="C12" t="s">
        <v>330</v>
      </c>
      <c r="D12" t="s">
        <v>328</v>
      </c>
      <c r="E12" t="s">
        <v>334</v>
      </c>
    </row>
    <row r="13" spans="1:10" x14ac:dyDescent="0.2">
      <c r="A13" t="s">
        <v>339</v>
      </c>
      <c r="B13" t="s">
        <v>329</v>
      </c>
      <c r="C13" t="s">
        <v>331</v>
      </c>
      <c r="D13" t="s">
        <v>328</v>
      </c>
      <c r="E13" t="s">
        <v>218</v>
      </c>
    </row>
    <row r="14" spans="1:10" x14ac:dyDescent="0.2">
      <c r="A14" t="s">
        <v>341</v>
      </c>
      <c r="B14" t="s">
        <v>329</v>
      </c>
      <c r="C14" t="s">
        <v>331</v>
      </c>
      <c r="D14" t="s">
        <v>328</v>
      </c>
      <c r="E14" t="s">
        <v>218</v>
      </c>
    </row>
    <row r="15" spans="1:10" x14ac:dyDescent="0.2">
      <c r="A15" t="s">
        <v>342</v>
      </c>
      <c r="B15" t="s">
        <v>329</v>
      </c>
      <c r="C15" t="s">
        <v>331</v>
      </c>
      <c r="D15" t="s">
        <v>328</v>
      </c>
      <c r="E15" t="s">
        <v>218</v>
      </c>
    </row>
    <row r="16" spans="1:10" x14ac:dyDescent="0.2">
      <c r="A16" t="s">
        <v>343</v>
      </c>
      <c r="B16" t="s">
        <v>329</v>
      </c>
      <c r="C16" t="s">
        <v>345</v>
      </c>
      <c r="D16" t="s">
        <v>344</v>
      </c>
      <c r="E16" t="s">
        <v>334</v>
      </c>
    </row>
    <row r="17" spans="1:5" x14ac:dyDescent="0.2">
      <c r="A17" t="s">
        <v>348</v>
      </c>
      <c r="B17" t="s">
        <v>329</v>
      </c>
      <c r="C17" t="s">
        <v>345</v>
      </c>
      <c r="D17" t="s">
        <v>344</v>
      </c>
      <c r="E17" t="s">
        <v>334</v>
      </c>
    </row>
    <row r="18" spans="1:5" x14ac:dyDescent="0.2">
      <c r="A18" t="s">
        <v>349</v>
      </c>
      <c r="B18" t="s">
        <v>329</v>
      </c>
      <c r="C18" t="s">
        <v>345</v>
      </c>
      <c r="D18" t="s">
        <v>344</v>
      </c>
      <c r="E18" t="s">
        <v>334</v>
      </c>
    </row>
    <row r="19" spans="1:5" x14ac:dyDescent="0.2">
      <c r="A19" t="s">
        <v>350</v>
      </c>
      <c r="B19" t="s">
        <v>329</v>
      </c>
      <c r="C19" t="s">
        <v>352</v>
      </c>
      <c r="D19" t="s">
        <v>351</v>
      </c>
      <c r="E19" t="s">
        <v>334</v>
      </c>
    </row>
    <row r="20" spans="1:5" x14ac:dyDescent="0.2">
      <c r="A20" t="s">
        <v>355</v>
      </c>
      <c r="B20" t="s">
        <v>329</v>
      </c>
      <c r="C20" t="s">
        <v>352</v>
      </c>
      <c r="D20" t="s">
        <v>351</v>
      </c>
      <c r="E20" t="s">
        <v>334</v>
      </c>
    </row>
    <row r="21" spans="1:5" x14ac:dyDescent="0.2">
      <c r="A21" t="s">
        <v>356</v>
      </c>
      <c r="B21" t="s">
        <v>329</v>
      </c>
      <c r="C21" t="s">
        <v>352</v>
      </c>
      <c r="D21" t="s">
        <v>351</v>
      </c>
      <c r="E21" t="s">
        <v>334</v>
      </c>
    </row>
    <row r="22" spans="1:5" x14ac:dyDescent="0.2">
      <c r="A22" t="s">
        <v>357</v>
      </c>
      <c r="B22" t="s">
        <v>329</v>
      </c>
      <c r="C22" t="s">
        <v>358</v>
      </c>
      <c r="D22" t="s">
        <v>351</v>
      </c>
      <c r="E22" t="s">
        <v>359</v>
      </c>
    </row>
    <row r="23" spans="1:5" x14ac:dyDescent="0.2">
      <c r="A23" t="s">
        <v>361</v>
      </c>
      <c r="B23" t="s">
        <v>329</v>
      </c>
      <c r="C23" t="s">
        <v>358</v>
      </c>
      <c r="D23" t="s">
        <v>351</v>
      </c>
      <c r="E23" t="s">
        <v>359</v>
      </c>
    </row>
    <row r="24" spans="1:5" x14ac:dyDescent="0.2">
      <c r="A24" t="s">
        <v>362</v>
      </c>
      <c r="B24" t="s">
        <v>329</v>
      </c>
      <c r="C24" t="s">
        <v>358</v>
      </c>
      <c r="D24" t="s">
        <v>351</v>
      </c>
      <c r="E24" t="s">
        <v>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BA9C-6066-864E-AB9D-4C272B9F5EE7}">
  <dimension ref="A1:DI25"/>
  <sheetViews>
    <sheetView workbookViewId="0">
      <selection activeCell="A14" sqref="A14:XFD16"/>
    </sheetView>
  </sheetViews>
  <sheetFormatPr baseColWidth="10" defaultRowHeight="16" x14ac:dyDescent="0.2"/>
  <sheetData>
    <row r="1" spans="1:113" x14ac:dyDescent="0.2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13" x14ac:dyDescent="0.2">
      <c r="A2" s="1">
        <v>1</v>
      </c>
      <c r="B2" s="1" t="s">
        <v>364</v>
      </c>
      <c r="C2" s="1"/>
      <c r="D2" s="1"/>
      <c r="E2" s="1"/>
      <c r="F2" s="1"/>
      <c r="G2" s="1"/>
      <c r="H2" s="1"/>
      <c r="I2" s="1"/>
      <c r="J2" s="1"/>
    </row>
    <row r="3" spans="1:113" x14ac:dyDescent="0.2">
      <c r="A3" s="1">
        <v>2</v>
      </c>
      <c r="B3" s="1" t="s">
        <v>363</v>
      </c>
      <c r="C3" s="1"/>
      <c r="D3" s="1"/>
      <c r="E3" s="1"/>
      <c r="F3" s="1"/>
      <c r="G3" s="1"/>
      <c r="H3" s="1"/>
      <c r="I3" s="1"/>
      <c r="J3" s="1"/>
    </row>
    <row r="4" spans="1:113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3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13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13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3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10" spans="1:113" x14ac:dyDescent="0.2">
      <c r="A10" s="1" t="s">
        <v>77</v>
      </c>
      <c r="B10" s="1" t="s">
        <v>75</v>
      </c>
      <c r="C10" s="1" t="s">
        <v>74</v>
      </c>
      <c r="D10" s="1" t="s">
        <v>184</v>
      </c>
      <c r="E10" s="1" t="s">
        <v>76</v>
      </c>
      <c r="F10" s="1" t="s">
        <v>294</v>
      </c>
      <c r="G10" s="1" t="s">
        <v>293</v>
      </c>
      <c r="H10" s="1" t="s">
        <v>296</v>
      </c>
      <c r="I10" s="1" t="s">
        <v>295</v>
      </c>
      <c r="J10" s="1" t="s">
        <v>298</v>
      </c>
      <c r="K10" t="s">
        <v>228</v>
      </c>
      <c r="L10" s="1" t="s">
        <v>372</v>
      </c>
    </row>
    <row r="11" spans="1:113" x14ac:dyDescent="0.2">
      <c r="A11" t="s">
        <v>366</v>
      </c>
      <c r="B11" t="s">
        <v>365</v>
      </c>
      <c r="C11" t="s">
        <v>331</v>
      </c>
      <c r="D11" s="1"/>
      <c r="E11" s="1" t="s">
        <v>218</v>
      </c>
      <c r="F11" s="1">
        <v>13</v>
      </c>
      <c r="G11" s="1">
        <v>14.07</v>
      </c>
      <c r="H11" s="1">
        <v>5.32</v>
      </c>
      <c r="I11" s="1">
        <v>4.6100000000000003</v>
      </c>
      <c r="J11" s="1">
        <v>0.14899999999999999</v>
      </c>
      <c r="K11">
        <f>(F11*46.07)/1000</f>
        <v>0.59890999999999994</v>
      </c>
      <c r="L11" t="s">
        <v>373</v>
      </c>
      <c r="CZ11" t="s">
        <v>332</v>
      </c>
      <c r="DA11" t="s">
        <v>333</v>
      </c>
      <c r="DB11" t="s">
        <v>334</v>
      </c>
      <c r="DD11" t="s">
        <v>312</v>
      </c>
      <c r="DE11" t="s">
        <v>335</v>
      </c>
      <c r="DF11" t="s">
        <v>313</v>
      </c>
      <c r="DG11" t="s">
        <v>330</v>
      </c>
      <c r="DH11" t="s">
        <v>336</v>
      </c>
      <c r="DI11" t="b">
        <v>1</v>
      </c>
    </row>
    <row r="12" spans="1:113" x14ac:dyDescent="0.2">
      <c r="A12" t="s">
        <v>367</v>
      </c>
      <c r="B12" t="s">
        <v>365</v>
      </c>
      <c r="C12" t="s">
        <v>331</v>
      </c>
      <c r="D12" s="1"/>
      <c r="E12" s="1" t="s">
        <v>218</v>
      </c>
      <c r="F12" s="1">
        <v>13</v>
      </c>
      <c r="G12" s="1">
        <v>14.07</v>
      </c>
      <c r="H12" s="1">
        <v>5.32</v>
      </c>
      <c r="I12" s="1">
        <v>4.6100000000000003</v>
      </c>
      <c r="J12" s="1">
        <v>0.14899999999999999</v>
      </c>
      <c r="K12">
        <f t="shared" ref="K12:K16" si="0">(F12*46.07)/1000</f>
        <v>0.59890999999999994</v>
      </c>
      <c r="L12" t="s">
        <v>373</v>
      </c>
      <c r="CZ12" t="s">
        <v>332</v>
      </c>
      <c r="DA12" t="s">
        <v>333</v>
      </c>
      <c r="DB12" t="s">
        <v>334</v>
      </c>
      <c r="DD12" t="s">
        <v>312</v>
      </c>
      <c r="DE12" t="s">
        <v>335</v>
      </c>
      <c r="DF12" t="s">
        <v>313</v>
      </c>
      <c r="DG12" t="s">
        <v>330</v>
      </c>
      <c r="DH12" t="s">
        <v>336</v>
      </c>
      <c r="DI12" t="b">
        <v>1</v>
      </c>
    </row>
    <row r="13" spans="1:113" x14ac:dyDescent="0.2">
      <c r="A13" t="s">
        <v>368</v>
      </c>
      <c r="B13" t="s">
        <v>365</v>
      </c>
      <c r="C13" t="s">
        <v>331</v>
      </c>
      <c r="D13" s="1"/>
      <c r="E13" s="1" t="s">
        <v>218</v>
      </c>
      <c r="F13" s="1">
        <v>13</v>
      </c>
      <c r="G13" s="1">
        <v>14.07</v>
      </c>
      <c r="H13" s="1">
        <v>5.32</v>
      </c>
      <c r="I13" s="1">
        <v>4.6100000000000003</v>
      </c>
      <c r="J13" s="1">
        <v>0.14899999999999999</v>
      </c>
      <c r="K13">
        <f t="shared" si="0"/>
        <v>0.59890999999999994</v>
      </c>
      <c r="L13" t="s">
        <v>373</v>
      </c>
      <c r="CZ13" t="s">
        <v>332</v>
      </c>
      <c r="DA13" t="s">
        <v>333</v>
      </c>
      <c r="DB13" t="s">
        <v>334</v>
      </c>
      <c r="DD13" t="s">
        <v>312</v>
      </c>
      <c r="DE13" t="s">
        <v>335</v>
      </c>
      <c r="DF13" t="s">
        <v>313</v>
      </c>
      <c r="DG13" t="s">
        <v>330</v>
      </c>
      <c r="DH13" t="s">
        <v>336</v>
      </c>
      <c r="DI13" t="b">
        <v>1</v>
      </c>
    </row>
    <row r="14" spans="1:113" x14ac:dyDescent="0.2">
      <c r="A14" t="s">
        <v>369</v>
      </c>
      <c r="B14" t="s">
        <v>365</v>
      </c>
      <c r="C14" t="s">
        <v>330</v>
      </c>
      <c r="D14" s="1"/>
      <c r="E14" s="1" t="s">
        <v>334</v>
      </c>
      <c r="F14" s="1">
        <v>17.21</v>
      </c>
      <c r="G14" s="1">
        <v>11.09</v>
      </c>
      <c r="H14" s="1">
        <v>1.79</v>
      </c>
      <c r="I14" s="1">
        <v>1.54</v>
      </c>
      <c r="J14" s="1">
        <v>6.0999999999999999E-2</v>
      </c>
      <c r="K14">
        <f t="shared" si="0"/>
        <v>0.79286470000000009</v>
      </c>
      <c r="L14" t="s">
        <v>373</v>
      </c>
      <c r="CZ14" t="s">
        <v>332</v>
      </c>
      <c r="DA14" t="s">
        <v>333</v>
      </c>
      <c r="DB14" t="s">
        <v>218</v>
      </c>
      <c r="DD14" t="s">
        <v>312</v>
      </c>
      <c r="DE14" t="s">
        <v>335</v>
      </c>
      <c r="DF14" t="s">
        <v>313</v>
      </c>
      <c r="DG14" t="s">
        <v>331</v>
      </c>
      <c r="DH14" t="s">
        <v>340</v>
      </c>
      <c r="DI14" t="b">
        <v>1</v>
      </c>
    </row>
    <row r="15" spans="1:113" x14ac:dyDescent="0.2">
      <c r="A15" t="s">
        <v>370</v>
      </c>
      <c r="B15" t="s">
        <v>365</v>
      </c>
      <c r="C15" t="s">
        <v>330</v>
      </c>
      <c r="D15" s="1"/>
      <c r="E15" s="1" t="s">
        <v>334</v>
      </c>
      <c r="F15" s="1">
        <v>17.21</v>
      </c>
      <c r="G15" s="1">
        <v>11.09</v>
      </c>
      <c r="H15" s="1">
        <v>1.79</v>
      </c>
      <c r="I15" s="1">
        <v>1.54</v>
      </c>
      <c r="J15" s="1">
        <v>6.0999999999999999E-2</v>
      </c>
      <c r="K15">
        <f t="shared" si="0"/>
        <v>0.79286470000000009</v>
      </c>
      <c r="L15" t="s">
        <v>373</v>
      </c>
      <c r="CZ15" t="s">
        <v>332</v>
      </c>
      <c r="DA15" t="s">
        <v>333</v>
      </c>
      <c r="DB15" t="s">
        <v>218</v>
      </c>
      <c r="DD15" t="s">
        <v>312</v>
      </c>
      <c r="DE15" t="s">
        <v>335</v>
      </c>
      <c r="DF15" t="s">
        <v>313</v>
      </c>
      <c r="DG15" t="s">
        <v>331</v>
      </c>
      <c r="DH15" t="s">
        <v>340</v>
      </c>
      <c r="DI15" t="b">
        <v>1</v>
      </c>
    </row>
    <row r="16" spans="1:113" x14ac:dyDescent="0.2">
      <c r="A16" t="s">
        <v>371</v>
      </c>
      <c r="B16" t="s">
        <v>365</v>
      </c>
      <c r="C16" t="s">
        <v>330</v>
      </c>
      <c r="D16" s="1"/>
      <c r="E16" s="1" t="s">
        <v>334</v>
      </c>
      <c r="F16" s="1">
        <v>17.21</v>
      </c>
      <c r="G16" s="1">
        <v>11.09</v>
      </c>
      <c r="H16" s="1">
        <v>1.79</v>
      </c>
      <c r="I16" s="1">
        <v>1.54</v>
      </c>
      <c r="J16" s="1">
        <v>6.0999999999999999E-2</v>
      </c>
      <c r="K16">
        <f t="shared" si="0"/>
        <v>0.79286470000000009</v>
      </c>
      <c r="L16" t="s">
        <v>373</v>
      </c>
      <c r="CZ16" t="s">
        <v>332</v>
      </c>
      <c r="DA16" t="s">
        <v>333</v>
      </c>
      <c r="DB16" t="s">
        <v>218</v>
      </c>
      <c r="DD16" t="s">
        <v>312</v>
      </c>
      <c r="DE16" t="s">
        <v>335</v>
      </c>
      <c r="DF16" t="s">
        <v>313</v>
      </c>
      <c r="DG16" t="s">
        <v>331</v>
      </c>
      <c r="DH16" t="s">
        <v>340</v>
      </c>
      <c r="DI16" t="b">
        <v>1</v>
      </c>
    </row>
    <row r="17" spans="1:113" x14ac:dyDescent="0.2">
      <c r="B17" s="1"/>
      <c r="C17" s="1"/>
      <c r="D17" s="1"/>
      <c r="E17" s="1"/>
      <c r="F17" s="1"/>
      <c r="G17" s="1"/>
      <c r="H17" s="1"/>
      <c r="I17" s="1"/>
      <c r="J17" s="1"/>
      <c r="CZ17" t="s">
        <v>346</v>
      </c>
      <c r="DA17" t="s">
        <v>333</v>
      </c>
      <c r="DB17" t="s">
        <v>334</v>
      </c>
      <c r="DD17" t="s">
        <v>312</v>
      </c>
      <c r="DE17" t="s">
        <v>335</v>
      </c>
      <c r="DF17" t="s">
        <v>313</v>
      </c>
      <c r="DG17" t="s">
        <v>345</v>
      </c>
      <c r="DH17" t="s">
        <v>347</v>
      </c>
      <c r="DI17" t="b">
        <v>1</v>
      </c>
    </row>
    <row r="18" spans="1:113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CZ18" t="s">
        <v>346</v>
      </c>
      <c r="DA18" t="s">
        <v>333</v>
      </c>
      <c r="DB18" t="s">
        <v>334</v>
      </c>
      <c r="DD18" t="s">
        <v>312</v>
      </c>
      <c r="DE18" t="s">
        <v>335</v>
      </c>
      <c r="DF18" t="s">
        <v>313</v>
      </c>
      <c r="DG18" t="s">
        <v>345</v>
      </c>
      <c r="DH18" t="s">
        <v>347</v>
      </c>
      <c r="DI18" t="b">
        <v>1</v>
      </c>
    </row>
    <row r="19" spans="1:11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CZ19" t="s">
        <v>346</v>
      </c>
      <c r="DA19" t="s">
        <v>333</v>
      </c>
      <c r="DB19" t="s">
        <v>334</v>
      </c>
      <c r="DD19" t="s">
        <v>312</v>
      </c>
      <c r="DE19" t="s">
        <v>335</v>
      </c>
      <c r="DF19" t="s">
        <v>313</v>
      </c>
      <c r="DG19" t="s">
        <v>345</v>
      </c>
      <c r="DH19" t="s">
        <v>347</v>
      </c>
      <c r="DI19" t="b">
        <v>1</v>
      </c>
    </row>
    <row r="20" spans="1:11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CZ20" t="s">
        <v>353</v>
      </c>
      <c r="DA20" t="s">
        <v>333</v>
      </c>
      <c r="DB20" t="s">
        <v>334</v>
      </c>
      <c r="DD20" t="s">
        <v>312</v>
      </c>
      <c r="DE20" t="s">
        <v>335</v>
      </c>
      <c r="DF20" t="s">
        <v>313</v>
      </c>
      <c r="DG20" t="s">
        <v>352</v>
      </c>
      <c r="DH20" t="s">
        <v>354</v>
      </c>
      <c r="DI20" t="b">
        <v>1</v>
      </c>
    </row>
    <row r="21" spans="1:11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CZ21" t="s">
        <v>353</v>
      </c>
      <c r="DA21" t="s">
        <v>333</v>
      </c>
      <c r="DB21" t="s">
        <v>334</v>
      </c>
      <c r="DD21" t="s">
        <v>312</v>
      </c>
      <c r="DE21" t="s">
        <v>335</v>
      </c>
      <c r="DF21" t="s">
        <v>313</v>
      </c>
      <c r="DG21" t="s">
        <v>352</v>
      </c>
      <c r="DH21" t="s">
        <v>354</v>
      </c>
      <c r="DI21" t="b">
        <v>1</v>
      </c>
    </row>
    <row r="22" spans="1:1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CZ22" t="s">
        <v>353</v>
      </c>
      <c r="DA22" t="s">
        <v>333</v>
      </c>
      <c r="DB22" t="s">
        <v>334</v>
      </c>
      <c r="DD22" t="s">
        <v>312</v>
      </c>
      <c r="DE22" t="s">
        <v>335</v>
      </c>
      <c r="DF22" t="s">
        <v>313</v>
      </c>
      <c r="DG22" t="s">
        <v>352</v>
      </c>
      <c r="DH22" t="s">
        <v>354</v>
      </c>
      <c r="DI22" t="b">
        <v>1</v>
      </c>
    </row>
    <row r="23" spans="1:1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CZ23" t="s">
        <v>353</v>
      </c>
      <c r="DA23" t="s">
        <v>333</v>
      </c>
      <c r="DB23" t="s">
        <v>359</v>
      </c>
      <c r="DD23" t="s">
        <v>312</v>
      </c>
      <c r="DE23" t="s">
        <v>335</v>
      </c>
      <c r="DF23" t="s">
        <v>313</v>
      </c>
      <c r="DG23" t="s">
        <v>358</v>
      </c>
      <c r="DH23" t="s">
        <v>360</v>
      </c>
      <c r="DI23" t="b">
        <v>1</v>
      </c>
    </row>
    <row r="24" spans="1:1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CZ24" t="s">
        <v>353</v>
      </c>
      <c r="DA24" t="s">
        <v>333</v>
      </c>
      <c r="DB24" t="s">
        <v>359</v>
      </c>
      <c r="DD24" t="s">
        <v>312</v>
      </c>
      <c r="DE24" t="s">
        <v>335</v>
      </c>
      <c r="DF24" t="s">
        <v>313</v>
      </c>
      <c r="DG24" t="s">
        <v>358</v>
      </c>
      <c r="DH24" t="s">
        <v>360</v>
      </c>
      <c r="DI24" t="b">
        <v>1</v>
      </c>
    </row>
    <row r="25" spans="1:113" x14ac:dyDescent="0.2">
      <c r="CZ25" t="s">
        <v>353</v>
      </c>
      <c r="DA25" t="s">
        <v>333</v>
      </c>
      <c r="DB25" t="s">
        <v>359</v>
      </c>
      <c r="DD25" t="s">
        <v>312</v>
      </c>
      <c r="DE25" t="s">
        <v>335</v>
      </c>
      <c r="DF25" t="s">
        <v>313</v>
      </c>
      <c r="DG25" t="s">
        <v>358</v>
      </c>
      <c r="DH25" t="s">
        <v>360</v>
      </c>
      <c r="DI25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B57F-F1AF-FD4E-99A3-CC08803E157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386-9F60-584B-9C7F-032A30600A24}">
  <dimension ref="A1:DI25"/>
  <sheetViews>
    <sheetView topLeftCell="B1" workbookViewId="0">
      <selection activeCell="B9" sqref="B9:K9"/>
    </sheetView>
  </sheetViews>
  <sheetFormatPr baseColWidth="10" defaultRowHeight="16" x14ac:dyDescent="0.2"/>
  <sheetData>
    <row r="1" spans="1:11" x14ac:dyDescent="0.2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">
      <c r="A2" s="1">
        <v>1</v>
      </c>
      <c r="B2" s="1" t="s">
        <v>374</v>
      </c>
      <c r="C2" s="1"/>
      <c r="D2" s="1"/>
      <c r="E2" s="1"/>
      <c r="F2" s="1"/>
      <c r="G2" s="1"/>
      <c r="H2" s="1"/>
      <c r="I2" s="1"/>
      <c r="J2" s="1"/>
    </row>
    <row r="3" spans="1:11" x14ac:dyDescent="0.2">
      <c r="A3" s="1">
        <v>2</v>
      </c>
      <c r="B3" s="1" t="s">
        <v>247</v>
      </c>
      <c r="C3" s="1"/>
      <c r="D3" s="1"/>
      <c r="E3" s="1"/>
      <c r="F3" s="1"/>
      <c r="G3" s="1"/>
      <c r="H3" s="1"/>
      <c r="I3" s="1"/>
      <c r="J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1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1" x14ac:dyDescent="0.2">
      <c r="A9" s="1" t="s">
        <v>77</v>
      </c>
      <c r="B9" s="1" t="s">
        <v>75</v>
      </c>
      <c r="C9" s="1" t="s">
        <v>74</v>
      </c>
      <c r="D9" s="1" t="s">
        <v>184</v>
      </c>
      <c r="E9" s="1" t="s">
        <v>76</v>
      </c>
      <c r="F9" s="1" t="s">
        <v>294</v>
      </c>
      <c r="G9" s="1" t="s">
        <v>293</v>
      </c>
      <c r="H9" s="1" t="s">
        <v>296</v>
      </c>
      <c r="I9" s="1" t="s">
        <v>295</v>
      </c>
      <c r="J9" s="1" t="s">
        <v>298</v>
      </c>
      <c r="K9" s="1" t="s">
        <v>372</v>
      </c>
    </row>
    <row r="10" spans="1:11" x14ac:dyDescent="0.2">
      <c r="A10" t="s">
        <v>375</v>
      </c>
      <c r="B10" t="s">
        <v>376</v>
      </c>
      <c r="C10" t="s">
        <v>377</v>
      </c>
      <c r="D10" t="s">
        <v>379</v>
      </c>
      <c r="E10" t="s">
        <v>380</v>
      </c>
    </row>
    <row r="11" spans="1:11" x14ac:dyDescent="0.2">
      <c r="A11" t="s">
        <v>381</v>
      </c>
      <c r="B11" t="s">
        <v>376</v>
      </c>
      <c r="C11" t="s">
        <v>377</v>
      </c>
      <c r="D11" t="s">
        <v>379</v>
      </c>
      <c r="E11" t="s">
        <v>380</v>
      </c>
    </row>
    <row r="12" spans="1:11" x14ac:dyDescent="0.2">
      <c r="A12" t="s">
        <v>382</v>
      </c>
      <c r="B12" t="s">
        <v>376</v>
      </c>
      <c r="C12" t="s">
        <v>378</v>
      </c>
      <c r="D12" t="s">
        <v>379</v>
      </c>
      <c r="E12" t="s">
        <v>380</v>
      </c>
    </row>
    <row r="13" spans="1:11" x14ac:dyDescent="0.2">
      <c r="A13" t="s">
        <v>383</v>
      </c>
      <c r="B13" t="s">
        <v>376</v>
      </c>
      <c r="C13" t="s">
        <v>378</v>
      </c>
      <c r="D13" t="s">
        <v>379</v>
      </c>
      <c r="E13" t="s">
        <v>380</v>
      </c>
    </row>
    <row r="14" spans="1:11" x14ac:dyDescent="0.2">
      <c r="A14" t="s">
        <v>384</v>
      </c>
      <c r="B14" t="s">
        <v>376</v>
      </c>
      <c r="C14" t="s">
        <v>378</v>
      </c>
      <c r="D14" t="s">
        <v>379</v>
      </c>
      <c r="E14" t="s">
        <v>380</v>
      </c>
    </row>
    <row r="15" spans="1:11" x14ac:dyDescent="0.2">
      <c r="A15" t="s">
        <v>385</v>
      </c>
      <c r="B15" t="s">
        <v>376</v>
      </c>
      <c r="C15" t="s">
        <v>378</v>
      </c>
      <c r="D15" t="s">
        <v>379</v>
      </c>
      <c r="E15" t="s">
        <v>380</v>
      </c>
    </row>
    <row r="16" spans="1:11" x14ac:dyDescent="0.2">
      <c r="A16" t="s">
        <v>386</v>
      </c>
      <c r="B16" t="s">
        <v>376</v>
      </c>
      <c r="C16" t="s">
        <v>387</v>
      </c>
      <c r="D16" t="s">
        <v>379</v>
      </c>
      <c r="E16" t="s">
        <v>380</v>
      </c>
    </row>
    <row r="17" spans="1:113" x14ac:dyDescent="0.2">
      <c r="A17" t="s">
        <v>388</v>
      </c>
      <c r="B17" t="s">
        <v>376</v>
      </c>
      <c r="C17" t="s">
        <v>387</v>
      </c>
      <c r="D17" t="s">
        <v>379</v>
      </c>
      <c r="E17" t="s">
        <v>380</v>
      </c>
    </row>
    <row r="18" spans="1:113" x14ac:dyDescent="0.2">
      <c r="A18" t="s">
        <v>389</v>
      </c>
      <c r="B18" t="s">
        <v>376</v>
      </c>
      <c r="C18" t="s">
        <v>390</v>
      </c>
      <c r="D18" t="s">
        <v>379</v>
      </c>
      <c r="E18" t="s">
        <v>380</v>
      </c>
    </row>
    <row r="19" spans="1:113" x14ac:dyDescent="0.2">
      <c r="A19" t="s">
        <v>391</v>
      </c>
      <c r="B19" t="s">
        <v>376</v>
      </c>
      <c r="C19" t="s">
        <v>390</v>
      </c>
      <c r="D19" t="s">
        <v>379</v>
      </c>
      <c r="E19" t="s">
        <v>380</v>
      </c>
    </row>
    <row r="20" spans="1:113" x14ac:dyDescent="0.2">
      <c r="A20" t="s">
        <v>392</v>
      </c>
      <c r="B20" t="s">
        <v>376</v>
      </c>
      <c r="C20" t="s">
        <v>377</v>
      </c>
      <c r="D20" t="s">
        <v>379</v>
      </c>
      <c r="E20" t="s">
        <v>380</v>
      </c>
    </row>
    <row r="21" spans="1:113" x14ac:dyDescent="0.2">
      <c r="A21" t="s">
        <v>393</v>
      </c>
      <c r="B21" t="s">
        <v>376</v>
      </c>
      <c r="C21" t="s">
        <v>377</v>
      </c>
      <c r="D21" t="s">
        <v>379</v>
      </c>
      <c r="E21" t="s">
        <v>380</v>
      </c>
    </row>
    <row r="22" spans="1:1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CZ22" t="s">
        <v>353</v>
      </c>
      <c r="DA22" t="s">
        <v>333</v>
      </c>
      <c r="DB22" t="s">
        <v>334</v>
      </c>
      <c r="DD22" t="s">
        <v>312</v>
      </c>
      <c r="DE22" t="s">
        <v>335</v>
      </c>
      <c r="DF22" t="s">
        <v>313</v>
      </c>
      <c r="DG22" t="s">
        <v>352</v>
      </c>
      <c r="DH22" t="s">
        <v>354</v>
      </c>
      <c r="DI22" t="b">
        <v>1</v>
      </c>
    </row>
    <row r="23" spans="1:1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CZ23" t="s">
        <v>353</v>
      </c>
      <c r="DA23" t="s">
        <v>333</v>
      </c>
      <c r="DB23" t="s">
        <v>359</v>
      </c>
      <c r="DD23" t="s">
        <v>312</v>
      </c>
      <c r="DE23" t="s">
        <v>335</v>
      </c>
      <c r="DF23" t="s">
        <v>313</v>
      </c>
      <c r="DG23" t="s">
        <v>358</v>
      </c>
      <c r="DH23" t="s">
        <v>360</v>
      </c>
      <c r="DI23" t="b">
        <v>1</v>
      </c>
    </row>
    <row r="24" spans="1:1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CZ24" t="s">
        <v>353</v>
      </c>
      <c r="DA24" t="s">
        <v>333</v>
      </c>
      <c r="DB24" t="s">
        <v>359</v>
      </c>
      <c r="DD24" t="s">
        <v>312</v>
      </c>
      <c r="DE24" t="s">
        <v>335</v>
      </c>
      <c r="DF24" t="s">
        <v>313</v>
      </c>
      <c r="DG24" t="s">
        <v>358</v>
      </c>
      <c r="DH24" t="s">
        <v>360</v>
      </c>
      <c r="DI24" t="b">
        <v>1</v>
      </c>
    </row>
    <row r="25" spans="1:113" x14ac:dyDescent="0.2">
      <c r="CZ25" t="s">
        <v>353</v>
      </c>
      <c r="DA25" t="s">
        <v>333</v>
      </c>
      <c r="DB25" t="s">
        <v>359</v>
      </c>
      <c r="DD25" t="s">
        <v>312</v>
      </c>
      <c r="DE25" t="s">
        <v>335</v>
      </c>
      <c r="DF25" t="s">
        <v>313</v>
      </c>
      <c r="DG25" t="s">
        <v>358</v>
      </c>
      <c r="DH25" t="s">
        <v>360</v>
      </c>
      <c r="DI25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4E5C-298C-464C-90DC-6AD47AC133EB}">
  <dimension ref="A10:J36"/>
  <sheetViews>
    <sheetView workbookViewId="0">
      <selection activeCell="A11" sqref="A11"/>
    </sheetView>
  </sheetViews>
  <sheetFormatPr baseColWidth="10" defaultRowHeight="16" x14ac:dyDescent="0.2"/>
  <sheetData>
    <row r="10" spans="1:10" x14ac:dyDescent="0.2">
      <c r="A10" s="1" t="s">
        <v>75</v>
      </c>
      <c r="B10" s="1" t="s">
        <v>74</v>
      </c>
      <c r="C10" s="1" t="s">
        <v>184</v>
      </c>
      <c r="D10" s="1" t="s">
        <v>76</v>
      </c>
      <c r="E10" s="1" t="s">
        <v>294</v>
      </c>
      <c r="F10" s="1" t="s">
        <v>293</v>
      </c>
      <c r="G10" s="1" t="s">
        <v>296</v>
      </c>
      <c r="H10" s="1" t="s">
        <v>295</v>
      </c>
      <c r="I10" s="1" t="s">
        <v>298</v>
      </c>
      <c r="J10" s="1" t="s">
        <v>372</v>
      </c>
    </row>
    <row r="11" spans="1:10" x14ac:dyDescent="0.2">
      <c r="A11" t="s">
        <v>394</v>
      </c>
      <c r="B11" t="s">
        <v>396</v>
      </c>
      <c r="C11" t="s">
        <v>395</v>
      </c>
    </row>
    <row r="12" spans="1:10" x14ac:dyDescent="0.2">
      <c r="A12" t="s">
        <v>397</v>
      </c>
      <c r="B12" t="s">
        <v>396</v>
      </c>
      <c r="C12" t="s">
        <v>395</v>
      </c>
    </row>
    <row r="13" spans="1:10" x14ac:dyDescent="0.2">
      <c r="A13" t="s">
        <v>398</v>
      </c>
      <c r="B13" t="s">
        <v>396</v>
      </c>
      <c r="C13" t="s">
        <v>395</v>
      </c>
    </row>
    <row r="14" spans="1:10" x14ac:dyDescent="0.2">
      <c r="A14" t="s">
        <v>399</v>
      </c>
      <c r="B14" t="s">
        <v>396</v>
      </c>
      <c r="C14" t="s">
        <v>395</v>
      </c>
    </row>
    <row r="15" spans="1:10" x14ac:dyDescent="0.2">
      <c r="A15" t="s">
        <v>400</v>
      </c>
      <c r="B15" t="s">
        <v>396</v>
      </c>
      <c r="C15" t="s">
        <v>395</v>
      </c>
    </row>
    <row r="16" spans="1:10" x14ac:dyDescent="0.2">
      <c r="A16" t="s">
        <v>401</v>
      </c>
      <c r="B16" t="s">
        <v>396</v>
      </c>
      <c r="C16" t="s">
        <v>395</v>
      </c>
    </row>
    <row r="17" spans="1:4" x14ac:dyDescent="0.2">
      <c r="A17" t="s">
        <v>402</v>
      </c>
      <c r="B17" t="s">
        <v>396</v>
      </c>
      <c r="C17" t="s">
        <v>395</v>
      </c>
      <c r="D17" t="s">
        <v>403</v>
      </c>
    </row>
    <row r="18" spans="1:4" x14ac:dyDescent="0.2">
      <c r="A18" t="s">
        <v>404</v>
      </c>
      <c r="B18" t="s">
        <v>396</v>
      </c>
      <c r="C18" t="s">
        <v>395</v>
      </c>
    </row>
    <row r="19" spans="1:4" x14ac:dyDescent="0.2">
      <c r="A19" t="s">
        <v>405</v>
      </c>
      <c r="B19" t="s">
        <v>396</v>
      </c>
      <c r="C19" t="s">
        <v>395</v>
      </c>
    </row>
    <row r="20" spans="1:4" x14ac:dyDescent="0.2">
      <c r="A20" t="s">
        <v>406</v>
      </c>
      <c r="B20" t="s">
        <v>396</v>
      </c>
      <c r="C20" t="s">
        <v>395</v>
      </c>
    </row>
    <row r="21" spans="1:4" x14ac:dyDescent="0.2">
      <c r="A21" t="s">
        <v>407</v>
      </c>
      <c r="B21" t="s">
        <v>396</v>
      </c>
      <c r="C21" t="s">
        <v>395</v>
      </c>
      <c r="D21" t="s">
        <v>403</v>
      </c>
    </row>
    <row r="22" spans="1:4" x14ac:dyDescent="0.2">
      <c r="A22" t="s">
        <v>408</v>
      </c>
      <c r="B22" t="s">
        <v>396</v>
      </c>
      <c r="C22" t="s">
        <v>395</v>
      </c>
      <c r="D22" t="s">
        <v>403</v>
      </c>
    </row>
    <row r="23" spans="1:4" x14ac:dyDescent="0.2">
      <c r="A23" t="s">
        <v>409</v>
      </c>
      <c r="B23" t="s">
        <v>396</v>
      </c>
      <c r="C23" t="s">
        <v>395</v>
      </c>
    </row>
    <row r="24" spans="1:4" x14ac:dyDescent="0.2">
      <c r="A24" t="s">
        <v>410</v>
      </c>
      <c r="B24" t="s">
        <v>396</v>
      </c>
      <c r="C24" t="s">
        <v>395</v>
      </c>
      <c r="D24" t="s">
        <v>403</v>
      </c>
    </row>
    <row r="25" spans="1:4" x14ac:dyDescent="0.2">
      <c r="A25" t="s">
        <v>411</v>
      </c>
      <c r="B25" t="s">
        <v>396</v>
      </c>
      <c r="C25" t="s">
        <v>395</v>
      </c>
      <c r="D25" t="s">
        <v>403</v>
      </c>
    </row>
    <row r="26" spans="1:4" x14ac:dyDescent="0.2">
      <c r="A26" t="s">
        <v>412</v>
      </c>
      <c r="B26" t="s">
        <v>396</v>
      </c>
      <c r="C26" t="s">
        <v>395</v>
      </c>
    </row>
    <row r="27" spans="1:4" x14ac:dyDescent="0.2">
      <c r="A27" t="s">
        <v>413</v>
      </c>
      <c r="B27" t="s">
        <v>396</v>
      </c>
      <c r="C27" t="s">
        <v>395</v>
      </c>
    </row>
    <row r="28" spans="1:4" x14ac:dyDescent="0.2">
      <c r="A28" t="s">
        <v>414</v>
      </c>
      <c r="B28" t="s">
        <v>396</v>
      </c>
      <c r="C28" t="s">
        <v>395</v>
      </c>
      <c r="D28" t="s">
        <v>403</v>
      </c>
    </row>
    <row r="29" spans="1:4" x14ac:dyDescent="0.2">
      <c r="A29" t="s">
        <v>415</v>
      </c>
      <c r="B29" t="s">
        <v>396</v>
      </c>
      <c r="C29" t="s">
        <v>395</v>
      </c>
    </row>
    <row r="30" spans="1:4" x14ac:dyDescent="0.2">
      <c r="A30" t="s">
        <v>416</v>
      </c>
      <c r="B30" t="s">
        <v>396</v>
      </c>
      <c r="C30" t="s">
        <v>395</v>
      </c>
      <c r="D30" t="s">
        <v>403</v>
      </c>
    </row>
    <row r="31" spans="1:4" x14ac:dyDescent="0.2">
      <c r="A31" t="s">
        <v>417</v>
      </c>
      <c r="B31" t="s">
        <v>396</v>
      </c>
      <c r="C31" t="s">
        <v>395</v>
      </c>
      <c r="D31" t="s">
        <v>403</v>
      </c>
    </row>
    <row r="32" spans="1:4" x14ac:dyDescent="0.2">
      <c r="A32" t="s">
        <v>418</v>
      </c>
      <c r="B32" t="s">
        <v>396</v>
      </c>
      <c r="C32" t="s">
        <v>395</v>
      </c>
    </row>
    <row r="33" spans="1:4" x14ac:dyDescent="0.2">
      <c r="A33" t="s">
        <v>419</v>
      </c>
      <c r="B33" t="s">
        <v>396</v>
      </c>
      <c r="C33" t="s">
        <v>395</v>
      </c>
    </row>
    <row r="34" spans="1:4" x14ac:dyDescent="0.2">
      <c r="A34" t="s">
        <v>420</v>
      </c>
      <c r="B34" t="s">
        <v>396</v>
      </c>
      <c r="C34" t="s">
        <v>395</v>
      </c>
    </row>
    <row r="35" spans="1:4" x14ac:dyDescent="0.2">
      <c r="A35" t="s">
        <v>421</v>
      </c>
      <c r="B35" t="s">
        <v>396</v>
      </c>
      <c r="C35" t="s">
        <v>395</v>
      </c>
    </row>
    <row r="36" spans="1:4" x14ac:dyDescent="0.2">
      <c r="A36" t="s">
        <v>422</v>
      </c>
      <c r="B36" t="s">
        <v>396</v>
      </c>
      <c r="C36" t="s">
        <v>395</v>
      </c>
      <c r="D36" t="s">
        <v>403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Xu2016_S3</vt:lpstr>
      <vt:lpstr>cellulosomal_genes</vt:lpstr>
      <vt:lpstr>important_genes_GSM</vt:lpstr>
      <vt:lpstr>eh_chemostat_phenotype</vt:lpstr>
      <vt:lpstr>metadata_EH</vt:lpstr>
      <vt:lpstr>evo_ag553_ag601</vt:lpstr>
      <vt:lpstr>lacI</vt:lpstr>
      <vt:lpstr>xyl_evo</vt:lpstr>
      <vt:lpstr>pentose_sugar_1</vt:lpstr>
      <vt:lpstr>pentose_sugar_2</vt:lpstr>
      <vt:lpstr>sulfate</vt:lpstr>
      <vt:lpstr>ll1210</vt:lpstr>
      <vt:lpstr>cell_stressor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Dahal, Sanjeev</dc:creator>
  <cp:lastModifiedBy>Dahal, Sanjeev</cp:lastModifiedBy>
  <dcterms:created xsi:type="dcterms:W3CDTF">2026-04-23T03:47:00Z</dcterms:created>
  <dcterms:modified xsi:type="dcterms:W3CDTF">2026-09-13T13:38:17Z</dcterms:modified>
</cp:coreProperties>
</file>